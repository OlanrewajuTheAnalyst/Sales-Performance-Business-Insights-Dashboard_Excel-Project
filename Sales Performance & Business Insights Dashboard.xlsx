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anre\Desktop\Github\Excel Project\1\"/>
    </mc:Choice>
  </mc:AlternateContent>
  <xr:revisionPtr revIDLastSave="0" documentId="13_ncr:1_{EE1E0CC4-F5FE-4FFC-A7A0-48F3070F2B15}" xr6:coauthVersionLast="47" xr6:coauthVersionMax="47" xr10:uidLastSave="{00000000-0000-0000-0000-000000000000}"/>
  <bookViews>
    <workbookView xWindow="-110" yWindow="-110" windowWidth="19420" windowHeight="10300" firstSheet="1" activeTab="3" xr2:uid="{00000000-000D-0000-FFFF-FFFF00000000}"/>
  </bookViews>
  <sheets>
    <sheet name="Dashboard_Plan" sheetId="2" r:id="rId1"/>
    <sheet name="Dashboard" sheetId="8" r:id="rId2"/>
    <sheet name="Pivot Tables" sheetId="7" r:id="rId3"/>
    <sheet name="Sales_Data" sheetId="1" r:id="rId4"/>
  </sheets>
  <definedNames>
    <definedName name="_xlnm._FilterDatabase" localSheetId="3"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8" l="1"/>
</calcChain>
</file>

<file path=xl/sharedStrings.xml><?xml version="1.0" encoding="utf-8"?>
<sst xmlns="http://schemas.openxmlformats.org/spreadsheetml/2006/main" count="14157" uniqueCount="2148">
  <si>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</si>
  <si>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</si>
  <si>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</si>
  <si>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</si>
  <si>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</si>
  <si>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</si>
  <si>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</si>
  <si>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</si>
  <si>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</si>
  <si>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</si>
  <si>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</si>
  <si>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</si>
  <si>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</si>
  <si>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</si>
  <si>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</si>
  <si>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</si>
  <si>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</si>
  <si>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</si>
  <si>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</si>
  <si>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</si>
  <si>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</si>
  <si>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</si>
  <si>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</si>
  <si>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</si>
  <si>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</si>
  <si>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</si>
  <si>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</si>
  <si>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</si>
  <si>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</si>
  <si>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</si>
  <si>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</si>
  <si>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</si>
  <si>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</si>
  <si>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</si>
  <si>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</si>
  <si>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</si>
  <si>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</si>
  <si>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</si>
  <si>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</si>
  <si>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</si>
  <si>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</si>
  <si>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</si>
  <si>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</si>
  <si>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</si>
  <si>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</si>
  <si>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</si>
  <si>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</si>
  <si>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</si>
  <si>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</si>
  <si>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</si>
  <si>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</si>
  <si>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</si>
  <si>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</si>
  <si>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</si>
  <si>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</si>
  <si>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</si>
  <si>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</si>
  <si>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</si>
  <si>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</si>
  <si>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</si>
  <si>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</si>
  <si>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</si>
  <si>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</si>
  <si>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</si>
  <si>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</si>
  <si>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</si>
  <si>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</si>
  <si>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</si>
  <si>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</si>
  <si>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</si>
  <si>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</si>
  <si>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</si>
  <si>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</si>
  <si>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</si>
  <si>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</si>
  <si>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</si>
  <si>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</si>
  <si>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</si>
  <si>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</si>
  <si>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</si>
  <si>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</si>
  <si>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</si>
  <si>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</si>
  <si>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</si>
  <si>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</si>
  <si>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</si>
  <si>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</si>
  <si>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</si>
  <si>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</si>
  <si>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</si>
  <si>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</si>
  <si>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</si>
  <si>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</si>
  <si>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</si>
  <si>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</si>
  <si>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</si>
  <si>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</si>
  <si>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</si>
  <si>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</si>
  <si>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</si>
  <si>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</si>
  <si>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</si>
  <si>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</si>
  <si>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</si>
  <si>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</si>
  <si>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</si>
  <si>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</si>
  <si>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</si>
  <si>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</si>
  <si>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</si>
  <si>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</si>
  <si>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</si>
  <si>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</si>
  <si>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</si>
  <si>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</si>
  <si>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</si>
  <si>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</si>
  <si>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</si>
  <si>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</si>
  <si>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</si>
  <si>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</si>
  <si>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</si>
  <si>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</si>
  <si>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</si>
  <si>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</si>
  <si>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</si>
  <si>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</si>
  <si>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</si>
  <si>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</si>
  <si>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</si>
  <si>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</si>
  <si>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</si>
  <si>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</si>
  <si>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</si>
  <si>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</si>
  <si>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</si>
  <si>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</si>
  <si>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</si>
  <si>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</si>
  <si>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</si>
  <si>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</si>
  <si>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</si>
  <si>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</si>
  <si>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</si>
  <si>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</si>
  <si>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</si>
  <si>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</si>
  <si>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</si>
  <si>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</si>
  <si>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</si>
  <si>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</si>
  <si>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</si>
  <si>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</si>
  <si>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</si>
  <si>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</si>
  <si>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</si>
  <si>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</si>
  <si>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</si>
  <si>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</si>
  <si>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</si>
  <si>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</si>
  <si>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</si>
  <si>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</si>
  <si>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</si>
  <si>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</si>
  <si>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</si>
  <si>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</si>
  <si>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</si>
  <si>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</si>
  <si>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</si>
  <si>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</si>
  <si>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</si>
  <si>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</si>
  <si>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</si>
  <si>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</si>
  <si>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</si>
  <si>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</si>
  <si>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</si>
  <si>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</si>
  <si>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</si>
  <si>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</si>
  <si>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</si>
  <si>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</si>
  <si>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</si>
  <si>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</si>
  <si>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</si>
  <si>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</si>
  <si>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</si>
  <si>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</si>
  <si>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</si>
  <si>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</si>
  <si>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</si>
  <si>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</si>
  <si>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</si>
  <si>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</si>
  <si>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</si>
  <si>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</si>
  <si>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</si>
  <si>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</si>
  <si>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</si>
  <si>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</si>
  <si>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</si>
  <si>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</si>
  <si>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</si>
  <si>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</si>
  <si>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</si>
  <si>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</si>
  <si>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</si>
  <si>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</si>
  <si>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</si>
  <si>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</si>
  <si>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</si>
  <si>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</si>
  <si>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</si>
  <si>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</si>
  <si>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</si>
  <si>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</si>
  <si>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</si>
  <si>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</si>
  <si>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</si>
  <si>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</si>
  <si>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</si>
  <si>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</si>
  <si>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</si>
  <si>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</si>
  <si>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</si>
  <si>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</si>
  <si>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</si>
  <si>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</si>
  <si>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</si>
  <si>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</si>
  <si>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</si>
  <si>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</si>
  <si>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</si>
  <si>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</si>
  <si>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</si>
  <si>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</si>
  <si>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</si>
  <si>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</si>
  <si>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</si>
  <si>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</si>
  <si>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</si>
  <si>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</si>
  <si>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</si>
  <si>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</si>
  <si>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</si>
  <si>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</si>
  <si>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</si>
  <si>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</si>
  <si>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</si>
  <si>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</si>
  <si>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</si>
  <si>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</si>
  <si>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</si>
  <si>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</si>
  <si>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</si>
  <si>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</si>
  <si>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</si>
  <si>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</si>
  <si>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</si>
  <si>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</si>
  <si>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</si>
  <si>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</si>
  <si>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</si>
  <si>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</si>
  <si>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</si>
  <si>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</si>
  <si>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</si>
  <si>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</si>
  <si>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</si>
  <si>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</si>
  <si>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</si>
  <si>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</si>
  <si>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</si>
  <si>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</si>
  <si>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</si>
  <si>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</si>
  <si>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</si>
  <si>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</si>
  <si>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</si>
  <si>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</si>
  <si>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</si>
  <si>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</si>
  <si>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</si>
  <si>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</si>
  <si>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</si>
  <si>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</si>
  <si>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</si>
  <si>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</si>
  <si>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</si>
  <si>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</si>
  <si>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</si>
  <si>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</si>
  <si>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</si>
  <si>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</si>
  <si>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</si>
  <si>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</si>
  <si>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</si>
  <si>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</si>
  <si>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</si>
  <si>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</si>
  <si>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</si>
  <si>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</si>
  <si>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</si>
  <si>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</si>
  <si>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</si>
  <si>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</si>
  <si>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</si>
  <si>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</si>
  <si>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</si>
  <si>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</si>
  <si>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</si>
  <si>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</si>
  <si>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</si>
  <si>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</si>
  <si>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</si>
  <si>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</si>
  <si>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</si>
  <si>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</si>
  <si>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</si>
  <si>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</si>
  <si>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</si>
  <si>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</si>
  <si>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</si>
  <si>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</si>
  <si>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</si>
  <si>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</si>
  <si>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</si>
  <si>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</si>
  <si>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</si>
  <si>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</si>
  <si>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</si>
  <si>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</si>
  <si>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</si>
  <si>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</si>
  <si>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</si>
  <si>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</si>
  <si>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</si>
  <si>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</si>
  <si>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</si>
  <si>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</si>
  <si>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</si>
  <si>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</si>
  <si>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</si>
  <si>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</si>
  <si>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</si>
  <si>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</si>
  <si>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</si>
  <si>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</si>
  <si>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</si>
  <si>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</si>
  <si>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</si>
  <si>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</si>
  <si>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</si>
  <si>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</si>
  <si>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</si>
  <si>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</si>
  <si>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</si>
  <si>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</si>
  <si>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</si>
  <si>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</si>
  <si>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</si>
  <si>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</si>
  <si>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</si>
  <si>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</si>
  <si>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</si>
  <si>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</si>
  <si>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</si>
  <si>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</si>
  <si>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</si>
  <si>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</si>
  <si>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</si>
  <si>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</si>
  <si>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</si>
  <si>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</si>
  <si>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</si>
  <si>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</si>
  <si>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</si>
  <si>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</si>
  <si>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</si>
  <si>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</si>
  <si>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</si>
  <si>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</si>
  <si>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</si>
  <si>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</si>
  <si>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</si>
  <si>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</si>
  <si>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</si>
  <si>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</si>
  <si>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</si>
  <si>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</si>
  <si>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</si>
  <si>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</si>
  <si>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</si>
  <si>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</si>
  <si>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</si>
  <si>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</si>
  <si>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</si>
  <si>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</si>
  <si>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</si>
  <si>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</si>
  <si>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</si>
  <si>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</si>
  <si>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</si>
  <si>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</si>
  <si>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</si>
  <si>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</si>
  <si>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</si>
  <si>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</si>
  <si>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</si>
  <si>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</si>
  <si>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</si>
  <si>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</si>
  <si>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</si>
  <si>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</si>
  <si>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</si>
  <si>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</si>
  <si>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</si>
  <si>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</si>
  <si>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</si>
  <si>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</si>
  <si>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</si>
  <si>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</si>
  <si>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</si>
  <si>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</si>
  <si>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</si>
  <si>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</si>
  <si>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</si>
  <si>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</si>
  <si>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</si>
  <si>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</si>
  <si>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</si>
  <si>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</si>
  <si>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</si>
  <si>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</si>
  <si>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</si>
  <si>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</si>
  <si>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</si>
  <si>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</si>
  <si>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</si>
  <si>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</si>
  <si>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</si>
  <si>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</si>
  <si>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</si>
  <si>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</si>
  <si>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</si>
  <si>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</si>
  <si>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</si>
  <si>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</si>
  <si>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</si>
  <si>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</si>
  <si>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</si>
  <si>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</si>
  <si>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</si>
  <si>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</si>
  <si>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</si>
  <si>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</si>
  <si>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</si>
  <si>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</si>
  <si>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</si>
  <si>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</si>
  <si>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</si>
  <si>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</si>
  <si>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</si>
  <si>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</si>
  <si>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</si>
  <si>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</si>
  <si>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</si>
  <si>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</si>
  <si>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</si>
  <si>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</si>
  <si>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</si>
  <si>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</si>
  <si>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</si>
  <si>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</si>
  <si>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</si>
  <si>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</si>
  <si>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</si>
  <si>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</si>
  <si>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</si>
  <si>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</si>
  <si>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</si>
  <si>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</si>
  <si>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</si>
  <si>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</si>
  <si>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</si>
  <si>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</si>
  <si>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</si>
  <si>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</si>
  <si>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</si>
  <si>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</si>
  <si>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</si>
  <si>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</si>
  <si>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</si>
  <si>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</si>
  <si>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</si>
  <si>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</si>
  <si>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</si>
  <si>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</si>
  <si>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</si>
  <si>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</si>
  <si>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</si>
  <si>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</si>
  <si>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</si>
  <si>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</si>
  <si>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</si>
  <si>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</si>
  <si>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</si>
  <si>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</si>
  <si>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</si>
  <si>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</si>
  <si>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</si>
  <si>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</si>
  <si>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</si>
  <si>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</si>
  <si>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</si>
  <si>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</si>
  <si>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</si>
  <si>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</si>
  <si>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</si>
  <si>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</si>
  <si>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</si>
  <si>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</si>
  <si>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</si>
  <si>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</si>
  <si>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</si>
  <si>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</si>
  <si>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</si>
  <si>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</si>
  <si>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</si>
  <si>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</si>
  <si>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</si>
  <si>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</si>
  <si>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</si>
  <si>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</si>
  <si>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</si>
  <si>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</si>
  <si>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</si>
  <si>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</si>
  <si>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</si>
  <si>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</si>
  <si>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</si>
  <si>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</si>
  <si>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</si>
  <si>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</si>
  <si>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</si>
  <si>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</si>
  <si>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</si>
  <si>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</si>
  <si>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</si>
  <si>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</si>
  <si>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</si>
  <si>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</si>
  <si>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</si>
  <si>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</si>
  <si>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</si>
  <si>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</si>
  <si>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</si>
  <si>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</si>
  <si>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</si>
  <si>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</si>
  <si>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</si>
  <si>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</si>
  <si>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</si>
  <si>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</si>
  <si>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</si>
  <si>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</si>
  <si>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</si>
  <si>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</si>
  <si>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</si>
  <si>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</si>
  <si>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</si>
  <si>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</si>
  <si>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</si>
  <si>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</si>
  <si>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</si>
  <si>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</si>
  <si>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</si>
  <si>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</si>
  <si>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</si>
  <si>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</si>
  <si>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</si>
  <si>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</si>
  <si>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</si>
  <si>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</si>
  <si>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</si>
  <si>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</si>
  <si>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</si>
  <si>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</si>
  <si>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</si>
  <si>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</si>
  <si>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</si>
  <si>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</si>
  <si>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</si>
  <si>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</si>
  <si>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</si>
  <si>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</si>
  <si>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</si>
  <si>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</si>
  <si>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</si>
  <si>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</si>
  <si>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</si>
  <si>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</si>
  <si>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</si>
  <si>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</si>
  <si>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</si>
  <si>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</si>
  <si>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</si>
  <si>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</si>
  <si>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</si>
  <si>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</si>
  <si>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</si>
  <si>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</si>
  <si>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</si>
  <si>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</si>
  <si>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</si>
  <si>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</si>
  <si>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</si>
  <si>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</si>
  <si>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</si>
  <si>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</si>
  <si>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</si>
  <si>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</si>
  <si>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</si>
  <si>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</si>
  <si>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</si>
  <si>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</si>
  <si>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</si>
  <si>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</si>
  <si>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</si>
  <si>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</si>
  <si>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</si>
  <si>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</si>
  <si>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</si>
  <si>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</si>
  <si>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</si>
  <si>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</si>
  <si>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</si>
  <si>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</si>
  <si>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</si>
  <si>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</si>
  <si>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</si>
  <si>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</si>
  <si>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</si>
  <si>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</si>
  <si>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</si>
  <si>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</si>
  <si>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</si>
  <si>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</si>
  <si>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</si>
  <si>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</si>
  <si>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</si>
  <si>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</si>
  <si>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</si>
  <si>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</si>
  <si>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</si>
  <si>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</si>
  <si>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</si>
  <si>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</si>
  <si>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</si>
  <si>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</si>
  <si>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</si>
  <si>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</si>
  <si>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</si>
  <si>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</si>
  <si>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</si>
  <si>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</si>
  <si>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</si>
  <si>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</si>
  <si>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</si>
  <si>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</si>
  <si>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</si>
  <si>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</si>
  <si>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</si>
  <si>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</si>
  <si>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</si>
  <si>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</si>
  <si>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</si>
  <si>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</si>
  <si>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</si>
  <si>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</si>
  <si>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</si>
  <si>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</si>
  <si>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</si>
  <si>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</si>
  <si>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</si>
  <si>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</si>
  <si>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</si>
  <si>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</si>
  <si>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</si>
  <si>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</si>
  <si>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</si>
  <si>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</si>
  <si>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</si>
  <si>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</si>
  <si>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</si>
  <si>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</si>
  <si>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</si>
  <si>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</si>
  <si>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</si>
  <si>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</si>
  <si>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</si>
  <si>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</si>
  <si>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</si>
  <si>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</si>
  <si>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</si>
  <si>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</si>
  <si>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</si>
  <si>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</si>
  <si>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</si>
  <si>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</si>
  <si>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</si>
  <si>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</si>
  <si>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</si>
  <si>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</si>
  <si>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</si>
  <si>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</si>
  <si>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</si>
  <si>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</si>
  <si>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</si>
  <si>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</si>
  <si>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</si>
  <si>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</si>
  <si>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</si>
  <si>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</si>
  <si>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</si>
  <si>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</si>
  <si>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</si>
  <si>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</si>
  <si>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</si>
  <si>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</si>
  <si>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</si>
  <si>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</si>
  <si>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</si>
  <si>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</si>
  <si>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</si>
  <si>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</si>
  <si>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</si>
  <si>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</si>
  <si>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</si>
  <si>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</si>
  <si>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</si>
  <si>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</si>
  <si>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</si>
  <si>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</si>
  <si>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</si>
  <si>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</si>
  <si>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</si>
  <si>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</si>
  <si>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</si>
  <si>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</si>
  <si>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</si>
  <si>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</si>
  <si>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</si>
  <si>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</si>
  <si>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</si>
  <si>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</si>
  <si>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</si>
  <si>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</si>
  <si>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</si>
  <si>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</si>
  <si>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</si>
  <si>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</si>
  <si>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</si>
  <si>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</si>
  <si>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</si>
  <si>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</si>
  <si>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</si>
  <si>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</si>
  <si>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</si>
  <si>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</si>
  <si>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</si>
  <si>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</si>
  <si>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</si>
  <si>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</si>
  <si>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</si>
  <si>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</si>
  <si>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</si>
  <si>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</si>
  <si>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</si>
  <si>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</si>
  <si>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</si>
  <si>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</si>
  <si>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</si>
  <si>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</si>
  <si>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</si>
  <si>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</si>
  <si>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</si>
  <si>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</si>
  <si>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</si>
  <si>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</si>
  <si>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</si>
  <si>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</si>
  <si>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</si>
  <si>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</si>
  <si>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</si>
  <si>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</si>
  <si>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</si>
  <si>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</si>
  <si>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</si>
  <si>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</si>
  <si>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</si>
  <si>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</si>
  <si>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</si>
  <si>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</si>
  <si>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</si>
  <si>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</si>
  <si>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</si>
  <si>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</si>
  <si>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</si>
  <si>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</si>
  <si>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</si>
  <si>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</si>
  <si>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</si>
  <si>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</si>
  <si>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</si>
  <si>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</si>
  <si>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</si>
  <si>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</si>
  <si>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</si>
  <si>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</si>
  <si>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</si>
  <si>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</si>
  <si>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</si>
  <si>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</si>
  <si>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</si>
  <si>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</si>
  <si>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</si>
  <si>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</si>
  <si>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</si>
  <si>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</si>
  <si>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</si>
  <si>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</si>
  <si>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</si>
  <si>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</si>
  <si>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</si>
  <si>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</si>
  <si>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</si>
  <si>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</si>
  <si>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</si>
  <si>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</si>
  <si>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</si>
  <si>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</si>
  <si>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</si>
  <si>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</si>
  <si>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</si>
  <si>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</si>
  <si>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</si>
  <si>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</si>
  <si>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</si>
  <si>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</si>
  <si>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</si>
  <si>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</si>
  <si>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</si>
  <si>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</si>
  <si>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</si>
  <si>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</si>
  <si>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</si>
  <si>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</si>
  <si>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</si>
  <si>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</si>
  <si>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</si>
  <si>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</si>
  <si>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</si>
  <si>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</si>
  <si>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</si>
  <si>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</si>
  <si>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</si>
  <si>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</si>
  <si>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</si>
  <si>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</si>
  <si>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</si>
  <si>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</si>
  <si>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</si>
  <si>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</si>
  <si>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</si>
  <si>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</si>
  <si>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</si>
  <si>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</si>
  <si>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</si>
  <si>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</si>
  <si>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</si>
  <si>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</si>
  <si>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</si>
  <si>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</si>
  <si>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</si>
  <si>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</si>
  <si>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</si>
  <si>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</si>
  <si>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</si>
  <si>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</si>
  <si>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</si>
  <si>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</si>
  <si>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</si>
  <si>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</si>
  <si>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</si>
  <si>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</si>
  <si>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</si>
  <si>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</si>
  <si>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</si>
  <si>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</si>
  <si>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</si>
  <si>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</si>
  <si>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</si>
  <si>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</si>
  <si>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</si>
  <si>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</si>
  <si>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</si>
  <si>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</si>
  <si>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</si>
  <si>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</si>
  <si>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</si>
  <si>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</si>
  <si>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</si>
  <si>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</si>
  <si>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</si>
  <si>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</si>
  <si>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</si>
  <si>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</si>
  <si>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</si>
  <si>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</si>
  <si>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</si>
  <si>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</si>
  <si>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</si>
  <si>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</si>
  <si>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</si>
  <si>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</si>
  <si>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</si>
  <si>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</si>
  <si>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</si>
  <si>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</si>
  <si>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</si>
  <si>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</si>
  <si>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</si>
  <si>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</si>
  <si>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</si>
  <si>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</si>
  <si>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</si>
  <si>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</si>
  <si>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</si>
  <si>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</si>
  <si>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</si>
  <si>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</si>
  <si>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</si>
  <si>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</si>
  <si>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</si>
  <si>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</si>
  <si>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</si>
  <si>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</si>
  <si>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</si>
  <si>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</si>
  <si>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</si>
  <si>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</si>
  <si>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</si>
  <si>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</si>
  <si>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</si>
  <si>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</si>
  <si>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</si>
  <si>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</si>
  <si>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</si>
  <si>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</si>
  <si>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</si>
  <si>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</si>
  <si>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</si>
  <si>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</si>
  <si>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</si>
  <si>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</si>
  <si>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</si>
  <si>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</si>
  <si>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</si>
  <si>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</si>
  <si>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</si>
  <si>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</si>
  <si>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</si>
  <si>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</si>
  <si>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</si>
  <si>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</si>
  <si>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</si>
  <si>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</si>
  <si>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</si>
  <si>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</si>
  <si>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</si>
  <si>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</si>
  <si>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</si>
  <si>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</si>
  <si>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</si>
  <si>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</si>
  <si>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</si>
  <si>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</si>
  <si>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</si>
  <si>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</si>
  <si>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</si>
  <si>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</si>
  <si>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</si>
  <si>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</si>
  <si>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</si>
  <si>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</si>
  <si>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</si>
  <si>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</si>
  <si>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</si>
  <si>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</si>
  <si>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</si>
  <si>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</si>
  <si>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</si>
  <si>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</si>
  <si>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</si>
  <si>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</si>
  <si>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</si>
  <si>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</si>
  <si>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</si>
  <si>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</si>
  <si>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</si>
  <si>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</si>
  <si>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</si>
  <si>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</si>
  <si>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</si>
  <si>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</si>
  <si>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</si>
  <si>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</si>
  <si>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</si>
  <si>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</si>
  <si>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</si>
  <si>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</si>
  <si>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</si>
  <si>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</si>
  <si>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</si>
  <si>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</si>
  <si>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</si>
  <si>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</si>
  <si>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</si>
  <si>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</si>
  <si>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</si>
  <si>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</si>
  <si>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</si>
  <si>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</si>
  <si>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</si>
  <si>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</si>
  <si>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</si>
  <si>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</si>
  <si>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</si>
  <si>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</si>
  <si>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</si>
  <si>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</si>
  <si>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</si>
  <si>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</si>
  <si>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</si>
  <si>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</si>
  <si>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</si>
  <si>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</si>
  <si>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</si>
  <si>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</si>
  <si>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</si>
  <si>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</si>
  <si>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</si>
  <si>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</si>
  <si>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</si>
  <si>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</si>
  <si>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</si>
  <si>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</si>
  <si>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</si>
  <si>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</si>
  <si>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</si>
  <si>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</si>
  <si>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</si>
  <si>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</si>
  <si>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</si>
  <si>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</si>
  <si>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</si>
  <si>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</si>
  <si>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</si>
  <si>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</si>
  <si>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</si>
  <si>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</si>
  <si>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</si>
  <si>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</si>
  <si>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</si>
  <si>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</si>
  <si>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</si>
  <si>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</si>
  <si>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</si>
  <si>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</si>
  <si>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</si>
  <si>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</si>
  <si>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</si>
  <si>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</si>
  <si>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</si>
  <si>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</si>
  <si>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</si>
  <si>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</si>
  <si>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</si>
  <si>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</si>
  <si>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</si>
  <si>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</si>
  <si>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</si>
  <si>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</si>
  <si>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</si>
  <si>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</si>
  <si>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</si>
  <si>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</si>
  <si>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</si>
  <si>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</si>
  <si>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</si>
  <si>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</si>
  <si>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</si>
  <si>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</si>
  <si>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</si>
  <si>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</si>
  <si>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</si>
  <si>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</si>
  <si>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</si>
  <si>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</si>
  <si>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</si>
  <si>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</si>
  <si>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</si>
  <si>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</si>
  <si>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</si>
  <si>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</si>
  <si>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</si>
  <si>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</si>
  <si>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</si>
  <si>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</si>
  <si>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</si>
  <si>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</si>
  <si>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</si>
  <si>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</si>
  <si>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</si>
  <si>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</si>
  <si>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</si>
  <si>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</si>
  <si>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</si>
  <si>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</si>
  <si>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</si>
  <si>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</si>
  <si>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</si>
  <si>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</si>
  <si>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</si>
  <si>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</si>
  <si>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</si>
  <si>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</si>
  <si>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</si>
  <si>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</si>
  <si>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</si>
  <si>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</si>
  <si>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</si>
  <si>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</si>
  <si>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</si>
  <si>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</si>
  <si>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</si>
  <si>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</si>
  <si>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</si>
  <si>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</si>
  <si>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</si>
  <si>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</si>
  <si>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</si>
  <si>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</si>
  <si>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</si>
  <si>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</si>
  <si>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</si>
  <si>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</si>
  <si>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</si>
  <si>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</si>
  <si>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</si>
  <si>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</si>
  <si>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</si>
  <si>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</si>
  <si>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</si>
  <si>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</si>
  <si>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</si>
  <si>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</si>
  <si>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</si>
  <si>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</si>
  <si>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</si>
  <si>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</si>
  <si>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</si>
  <si>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</si>
  <si>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</si>
  <si>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</si>
  <si>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</si>
  <si>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</si>
  <si>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</si>
  <si>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</si>
  <si>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</si>
  <si>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</si>
  <si>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</si>
  <si>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</si>
  <si>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</si>
  <si>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</si>
  <si>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</si>
  <si>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</si>
  <si>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</si>
  <si>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</si>
  <si>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</si>
  <si>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</si>
  <si>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</si>
  <si>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</si>
  <si>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</si>
  <si>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</si>
  <si>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</si>
  <si>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</si>
  <si>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</si>
  <si>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</si>
  <si>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</si>
  <si>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</si>
  <si>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</si>
  <si>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</si>
  <si>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</si>
  <si>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</si>
  <si>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</si>
  <si>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</si>
  <si>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</si>
  <si>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</si>
  <si>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</si>
  <si>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</si>
  <si>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</si>
  <si>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</si>
  <si>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</si>
  <si>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</si>
  <si>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</si>
  <si>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</si>
  <si>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</si>
  <si>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</si>
  <si>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</si>
  <si>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</si>
  <si>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</si>
  <si>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</si>
  <si>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</si>
  <si>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</si>
  <si>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</si>
  <si>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</si>
  <si>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</si>
  <si>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</si>
  <si>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</si>
  <si>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</si>
  <si>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</si>
  <si>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</si>
  <si>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</si>
  <si>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</si>
  <si>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</si>
  <si>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</si>
  <si>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</si>
  <si>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</si>
  <si>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</si>
  <si>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</si>
  <si>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</si>
  <si>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</si>
  <si>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</si>
  <si>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</si>
  <si>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</si>
  <si>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</si>
  <si>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</si>
  <si>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</si>
  <si>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</si>
  <si>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</si>
  <si>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</si>
  <si>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</si>
  <si>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</si>
  <si>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</si>
  <si>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</si>
  <si>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</si>
  <si>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</si>
  <si>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</si>
  <si>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</si>
  <si>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</si>
  <si>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</si>
  <si>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</si>
  <si>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</si>
  <si>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</si>
  <si>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</si>
  <si>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</si>
  <si>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</si>
  <si>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</si>
  <si>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</si>
  <si>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</si>
  <si>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</si>
  <si>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</si>
  <si>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</si>
  <si>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</si>
  <si>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</si>
  <si>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</si>
  <si>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</si>
  <si>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</si>
  <si>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</si>
  <si>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</si>
  <si>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</si>
  <si>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</si>
  <si>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</si>
  <si>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</si>
  <si>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</si>
  <si>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</si>
  <si>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</si>
  <si>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</si>
  <si>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</si>
  <si>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</si>
  <si>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</si>
  <si>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</si>
  <si>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</si>
  <si>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</si>
  <si>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</si>
  <si>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</si>
  <si>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</si>
  <si>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</si>
  <si>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</si>
  <si>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</si>
  <si>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</si>
  <si>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</si>
  <si>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</si>
  <si>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</si>
  <si>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</si>
  <si>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</si>
  <si>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</si>
  <si>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</si>
  <si>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</si>
  <si>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</si>
  <si>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</si>
  <si>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</si>
  <si>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</si>
  <si>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</si>
  <si>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</si>
  <si>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</si>
  <si>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</si>
  <si>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</si>
  <si>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</si>
  <si>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</si>
  <si>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</si>
  <si>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</si>
  <si>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</si>
  <si>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</si>
  <si>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</si>
  <si>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</si>
  <si>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</si>
  <si>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</si>
  <si>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</si>
  <si>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</si>
  <si>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</si>
  <si>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</si>
  <si>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</si>
  <si>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</si>
  <si>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</si>
  <si>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</si>
  <si>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</si>
  <si>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</si>
  <si>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</si>
  <si>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</si>
  <si>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</si>
  <si>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</si>
  <si>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</si>
  <si>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</si>
  <si>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</si>
  <si>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</si>
  <si>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</si>
  <si>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</si>
  <si>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</si>
  <si>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</si>
  <si>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</si>
  <si>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</si>
  <si>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</si>
  <si>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</si>
  <si>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</si>
  <si>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</si>
  <si>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</si>
  <si>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</si>
  <si>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</si>
  <si>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</si>
  <si>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</si>
  <si>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</si>
  <si>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</si>
  <si>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</si>
  <si>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</si>
  <si>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</si>
  <si>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</si>
  <si>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</si>
  <si>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</si>
  <si>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</si>
  <si>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</si>
  <si>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</si>
  <si>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</si>
  <si>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</si>
  <si>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</si>
  <si>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</si>
  <si>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</si>
  <si>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</si>
  <si>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</si>
  <si>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</si>
  <si>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</si>
  <si>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</si>
  <si>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</si>
  <si>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</si>
  <si>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</si>
  <si>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</si>
  <si>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</si>
  <si>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</si>
  <si>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</si>
  <si>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</si>
  <si>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</si>
  <si>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</si>
  <si>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</si>
  <si>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</si>
  <si>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</si>
  <si>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</si>
  <si>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</si>
  <si>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</si>
  <si>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</si>
  <si>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</si>
  <si>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</si>
  <si>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</si>
  <si>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</si>
  <si>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</si>
  <si>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</si>
  <si>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</si>
  <si>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</si>
  <si>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</si>
  <si>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</si>
  <si>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</si>
  <si>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</si>
  <si>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</si>
  <si>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</si>
  <si>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</si>
  <si>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</si>
  <si>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</si>
  <si>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</si>
  <si>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</si>
  <si>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</si>
  <si>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</si>
  <si>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</si>
  <si>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</si>
  <si>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</si>
  <si>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</si>
  <si>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</si>
  <si>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</si>
  <si>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</si>
  <si>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</si>
  <si>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</si>
  <si>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</si>
  <si>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</si>
  <si>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</si>
  <si>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</si>
  <si>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</si>
  <si>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</si>
  <si>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</si>
  <si>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</si>
  <si>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</si>
  <si>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</si>
  <si>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</si>
  <si>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</si>
  <si>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</si>
  <si>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</si>
  <si>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</si>
  <si>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</si>
  <si>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</si>
  <si>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</si>
  <si>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</si>
  <si>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</si>
  <si>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</si>
  <si>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</si>
  <si>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</si>
  <si>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</si>
  <si>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</si>
  <si>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</si>
  <si>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</si>
  <si>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</si>
  <si>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</si>
  <si>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</si>
  <si>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</si>
  <si>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</si>
  <si>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</si>
  <si>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</si>
  <si>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</si>
  <si>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</si>
  <si>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</si>
  <si>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</si>
  <si>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</si>
  <si>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</si>
  <si>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</si>
  <si>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</si>
  <si>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</si>
  <si>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</si>
  <si>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</si>
  <si>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</si>
  <si>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</si>
  <si>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</si>
  <si>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</si>
  <si>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</si>
  <si>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</si>
  <si>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</si>
  <si>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</si>
  <si>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</si>
  <si>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</si>
  <si>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</si>
  <si>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</si>
  <si>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</si>
  <si>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</si>
  <si>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</si>
  <si>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</si>
  <si>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</si>
  <si>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</si>
  <si>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</si>
  <si>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</si>
  <si>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</si>
  <si>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</si>
  <si>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</si>
  <si>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</si>
  <si>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</si>
  <si>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</si>
  <si>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</si>
  <si>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</si>
  <si>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</si>
  <si>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</si>
  <si>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</si>
  <si>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</si>
  <si>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</si>
  <si>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</si>
  <si>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</si>
  <si>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</si>
  <si>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</si>
  <si>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</si>
  <si>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</si>
  <si>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</si>
  <si>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</si>
  <si>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</si>
  <si>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</si>
  <si>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</si>
  <si>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</si>
  <si>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</si>
  <si>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</si>
  <si>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</si>
  <si>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</si>
  <si>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</si>
  <si>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</si>
  <si>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</si>
  <si>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</si>
  <si>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</si>
  <si>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</si>
  <si>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</si>
  <si>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</si>
  <si>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</si>
  <si>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</si>
  <si>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</si>
  <si>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</si>
  <si>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</si>
  <si>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</si>
  <si>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</si>
  <si>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</si>
  <si>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</si>
  <si>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</si>
  <si>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</si>
  <si>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</si>
  <si>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</si>
  <si>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</si>
  <si>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</si>
  <si>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</si>
  <si>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</si>
  <si>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</si>
  <si>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</si>
  <si>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</si>
  <si>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</si>
  <si>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</si>
  <si>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</si>
  <si>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</si>
  <si>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</si>
  <si>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</si>
  <si>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</si>
  <si>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</si>
  <si>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</si>
  <si>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</si>
  <si>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</si>
  <si>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</si>
  <si>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</si>
  <si>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</si>
  <si>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</si>
  <si>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</si>
  <si>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</si>
  <si>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</si>
  <si>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</si>
  <si>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</si>
  <si>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</si>
  <si>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</si>
  <si>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</si>
  <si>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</si>
  <si>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</si>
  <si>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</si>
  <si>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</si>
  <si>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</si>
  <si>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</si>
  <si>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</si>
  <si>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</si>
  <si>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</si>
  <si>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</si>
  <si>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</si>
  <si>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</si>
  <si>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</si>
  <si>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</si>
  <si>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</si>
  <si>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</si>
  <si>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</si>
  <si>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</si>
  <si>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</si>
  <si>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</si>
  <si>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</si>
  <si>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</si>
  <si>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</si>
  <si>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</si>
  <si>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</si>
  <si>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</si>
  <si>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</si>
  <si>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</si>
  <si>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</si>
  <si>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</si>
  <si>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</si>
  <si>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</si>
  <si>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</si>
  <si>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</si>
  <si>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</si>
  <si>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</si>
  <si>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</si>
  <si>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</si>
  <si>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</si>
  <si>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</si>
  <si>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</si>
  <si>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</si>
  <si>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</si>
  <si>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</si>
  <si>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</si>
  <si>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</si>
  <si>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</si>
  <si>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</si>
  <si>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</si>
  <si>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</si>
  <si>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</si>
  <si>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</si>
  <si>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</si>
  <si>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</si>
  <si>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</si>
  <si>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</si>
  <si>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</si>
  <si>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</si>
  <si>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</si>
  <si>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</si>
  <si>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</si>
  <si>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</si>
  <si>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</si>
  <si>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</si>
  <si>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</si>
  <si>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</si>
  <si>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</si>
  <si>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</si>
  <si>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</si>
  <si>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</si>
  <si>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</si>
  <si>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</si>
  <si>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</si>
  <si>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</si>
  <si>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</si>
  <si>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</si>
  <si>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</si>
  <si>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</si>
  <si>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</si>
  <si>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</si>
  <si>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</si>
  <si>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</si>
  <si>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</si>
  <si>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</si>
  <si>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</si>
  <si>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</si>
  <si>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</si>
  <si>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</si>
  <si>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</si>
  <si>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</si>
  <si>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</si>
  <si>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</si>
  <si>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</si>
  <si>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</si>
  <si>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</si>
  <si>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</si>
  <si>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</si>
  <si>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</si>
  <si>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</si>
  <si>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</si>
  <si>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</si>
  <si>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</si>
  <si>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</si>
  <si>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</si>
  <si>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</si>
  <si>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</si>
  <si>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</si>
  <si>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</si>
  <si>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</si>
  <si>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</si>
  <si>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</si>
  <si>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</si>
  <si>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</si>
  <si>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</si>
  <si>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</si>
  <si>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</si>
  <si>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</si>
  <si>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</si>
  <si>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</si>
  <si>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</si>
  <si>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</si>
  <si>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</si>
  <si>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</si>
  <si>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</si>
  <si>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</si>
  <si>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</si>
  <si>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</si>
  <si>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</si>
  <si>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</si>
  <si>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</si>
  <si>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</si>
  <si>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</si>
  <si>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</si>
  <si>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</si>
  <si>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</si>
  <si>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</si>
  <si>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</si>
  <si>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</si>
  <si>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</si>
  <si>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</si>
  <si>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</si>
  <si>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</si>
  <si>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</si>
  <si>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</si>
  <si>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</si>
  <si>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</si>
  <si>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</si>
  <si>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</si>
  <si>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</si>
  <si>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</si>
  <si>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</si>
  <si>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</si>
  <si>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</si>
  <si>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</si>
  <si>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</si>
  <si>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</si>
  <si>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</si>
  <si>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</si>
  <si>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</si>
  <si>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</si>
  <si>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</si>
  <si>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</si>
  <si>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</si>
  <si>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</si>
  <si>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</si>
  <si>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</si>
  <si>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</si>
  <si>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</si>
  <si>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</si>
  <si>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</si>
  <si>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</si>
  <si>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</si>
  <si>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</si>
  <si>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</si>
  <si>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</si>
  <si>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</si>
  <si>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</si>
  <si>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</si>
  <si>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</si>
  <si>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</si>
  <si>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</si>
  <si>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</si>
  <si>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</si>
  <si>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</si>
  <si>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</si>
  <si>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</si>
  <si>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</si>
  <si>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</si>
  <si>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</si>
  <si>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</si>
  <si>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</si>
  <si>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</si>
  <si>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</si>
  <si>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</si>
  <si>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</si>
  <si>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</si>
  <si>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</si>
  <si>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</si>
  <si>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</si>
  <si>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</si>
  <si>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</si>
  <si>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</si>
  <si>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</si>
  <si>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</si>
  <si>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</si>
  <si>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</si>
  <si>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</si>
  <si>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</si>
  <si>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</si>
  <si>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</si>
  <si>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</si>
  <si>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</si>
  <si>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</si>
  <si>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</si>
  <si>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</si>
  <si>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</si>
  <si>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</si>
  <si>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</si>
  <si>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</si>
  <si>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</si>
  <si>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</si>
  <si>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</si>
  <si>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</si>
  <si>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</si>
  <si>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</si>
  <si>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</si>
  <si>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</si>
  <si>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</si>
  <si>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</si>
  <si>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</si>
  <si>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</si>
  <si>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</si>
  <si>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</si>
  <si>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</si>
  <si>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</si>
  <si>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</si>
  <si>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</si>
  <si>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</si>
  <si>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</si>
  <si>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</si>
  <si>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</si>
  <si>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</si>
  <si>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</si>
  <si>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</si>
  <si>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</si>
  <si>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</si>
  <si>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</si>
  <si>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</si>
  <si>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</si>
  <si>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</si>
  <si>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</si>
  <si>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</si>
  <si>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</si>
  <si>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</si>
  <si>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</si>
  <si>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</si>
  <si>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</si>
  <si>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</si>
  <si>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</si>
  <si>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</si>
  <si>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</si>
  <si>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</si>
  <si>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</si>
  <si>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</si>
  <si>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</si>
  <si>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</si>
  <si>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</si>
  <si>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</si>
  <si>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</si>
  <si>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</si>
  <si>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</si>
  <si>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</si>
  <si>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</si>
  <si>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</si>
  <si>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</si>
  <si>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</si>
  <si>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</si>
  <si>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</si>
  <si>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</si>
  <si>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</si>
  <si>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</si>
  <si>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</si>
  <si>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</si>
  <si>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</si>
  <si>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</si>
  <si>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</si>
  <si>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</si>
  <si>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</si>
  <si>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</si>
  <si>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</si>
  <si>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</si>
  <si>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</si>
  <si>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</si>
  <si>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</si>
  <si>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</si>
  <si>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</si>
  <si>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</si>
  <si>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</si>
  <si>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</si>
  <si>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</si>
  <si>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</si>
  <si>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</si>
  <si>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</si>
  <si>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</si>
  <si>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</si>
  <si>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</si>
  <si>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</si>
  <si>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</si>
  <si>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</si>
  <si>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</si>
  <si>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</si>
  <si>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</si>
  <si>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</si>
  <si>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</si>
  <si>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</si>
  <si>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</si>
  <si>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</si>
  <si>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</si>
  <si>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</si>
  <si>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</si>
  <si>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</si>
  <si>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</si>
  <si>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</si>
  <si>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</si>
  <si>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</si>
  <si>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</si>
  <si>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</si>
  <si>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</si>
  <si>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</si>
  <si>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</si>
  <si>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</si>
  <si>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</si>
  <si>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</si>
  <si>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</si>
  <si>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</si>
  <si>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</si>
  <si>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</si>
  <si>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</si>
  <si>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</si>
  <si>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</si>
  <si>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</si>
  <si>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</si>
  <si>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</si>
  <si>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</si>
  <si>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</si>
  <si>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</si>
  <si>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</si>
  <si>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</si>
  <si>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</si>
  <si>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</si>
  <si>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</si>
  <si>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</si>
  <si>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</si>
  <si>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</si>
  <si>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</si>
  <si>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</si>
  <si>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</si>
  <si>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</si>
  <si>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</si>
  <si>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</si>
  <si>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</si>
  <si>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</si>
  <si>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</si>
  <si>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</si>
  <si>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</si>
  <si>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</si>
  <si>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</si>
  <si>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</si>
  <si>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</si>
  <si>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</si>
  <si>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</si>
  <si>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</si>
  <si>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</si>
  <si>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</si>
  <si>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</si>
  <si>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</si>
  <si>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</si>
  <si>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</si>
  <si>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</si>
  <si>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</si>
  <si>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</si>
  <si>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</si>
  <si>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</si>
  <si>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</si>
  <si>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</si>
  <si>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</si>
  <si>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</si>
  <si>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</si>
  <si>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</si>
  <si>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</si>
  <si>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</si>
  <si>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</si>
  <si>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</si>
  <si>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</si>
  <si>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</si>
  <si>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</si>
  <si>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</si>
  <si>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</si>
  <si>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</si>
  <si>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</si>
  <si>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</si>
  <si>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</si>
  <si>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</si>
  <si>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</si>
  <si>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</si>
  <si>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</si>
  <si>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</si>
  <si>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</si>
  <si>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</si>
  <si>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</si>
  <si>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</si>
  <si>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</si>
  <si>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</si>
  <si>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</si>
  <si>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</si>
  <si>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</si>
  <si>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</si>
  <si>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</si>
  <si>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</si>
  <si>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</si>
  <si>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</si>
  <si>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</si>
  <si>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</si>
  <si>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</si>
  <si>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</si>
  <si>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</si>
  <si>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</si>
  <si>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</si>
  <si>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</si>
  <si>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</si>
  <si>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</si>
  <si>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</si>
  <si>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</si>
  <si>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</si>
  <si>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</si>
  <si>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</si>
  <si>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</si>
  <si>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</si>
  <si>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</si>
  <si>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</si>
  <si>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</si>
  <si>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</si>
  <si>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</si>
  <si>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</si>
  <si>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</si>
  <si>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</si>
  <si>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</si>
  <si>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</si>
  <si>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</si>
  <si>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</si>
  <si>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</si>
  <si>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</si>
  <si>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</si>
  <si>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</si>
  <si>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</si>
  <si>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</si>
  <si>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</si>
  <si>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</si>
  <si>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</si>
  <si>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</si>
  <si>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</si>
  <si>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</si>
  <si>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</si>
  <si>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</si>
  <si>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</si>
  <si>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</si>
  <si>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</si>
  <si>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</si>
  <si>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</si>
  <si>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</si>
  <si>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</si>
  <si>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</si>
  <si>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</si>
  <si>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</si>
  <si>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</si>
  <si>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</si>
  <si>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</si>
  <si>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</si>
  <si>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</si>
  <si>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</si>
  <si>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</si>
  <si>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</si>
  <si>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</si>
  <si>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</si>
  <si>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</si>
  <si>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</si>
  <si>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</si>
  <si>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</si>
  <si>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</si>
  <si>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</si>
  <si>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</si>
  <si>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</si>
  <si>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</si>
  <si>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</si>
  <si>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</si>
  <si>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Column</t>
  </si>
  <si>
    <t>What it means</t>
  </si>
  <si>
    <t>Unique order reference</t>
  </si>
  <si>
    <t>Order date</t>
  </si>
  <si>
    <t>Sales region</t>
  </si>
  <si>
    <t>Online, retail, marketplace, etc.</t>
  </si>
  <si>
    <t>New or returning customer</t>
  </si>
  <si>
    <t>Product grouping</t>
  </si>
  <si>
    <t>Specific product name</t>
  </si>
  <si>
    <t>Number of units sold</t>
  </si>
  <si>
    <t>Price per unit</t>
  </si>
  <si>
    <t>Discount given</t>
  </si>
  <si>
    <t>Final sales amount</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</si>
  <si>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</si>
  <si>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</si>
  <si>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</si>
  <si>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</si>
  <si>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</si>
  <si>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</si>
  <si>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</si>
  <si>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</si>
  <si>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</si>
  <si>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</si>
  <si>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</si>
  <si>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</si>
  <si>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</si>
  <si>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</si>
  <si>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</si>
  <si>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</si>
  <si>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</si>
  <si>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</si>
  <si>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</si>
  <si>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</si>
  <si>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</si>
  <si>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</si>
  <si>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</si>
  <si>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</si>
  <si>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</si>
  <si>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</si>
  <si>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</si>
  <si>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</si>
  <si>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</si>
  <si>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</si>
  <si>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</si>
  <si>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</si>
  <si>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</si>
  <si>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</si>
  <si>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</si>
  <si>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Product and Revenue</t>
  </si>
  <si>
    <t>🔎 Review the columns</t>
  </si>
  <si>
    <t>✅ Important checks</t>
  </si>
  <si>
    <t>🎯 Business Questions to Dashboard and Columns</t>
  </si>
  <si>
    <t>Top 5 Products by Revenue</t>
  </si>
  <si>
    <t>Sum of Revenue</t>
  </si>
  <si>
    <t>Row Labels</t>
  </si>
  <si>
    <t>Grand Total</t>
  </si>
  <si>
    <t>Jan</t>
  </si>
  <si>
    <t>Feb</t>
  </si>
  <si>
    <t>Mar</t>
  </si>
  <si>
    <t>Apr</t>
  </si>
  <si>
    <t>May</t>
  </si>
  <si>
    <t>Jun</t>
  </si>
  <si>
    <t>Jul</t>
  </si>
  <si>
    <t>Aug</t>
  </si>
  <si>
    <t>Sep</t>
  </si>
  <si>
    <t>Oct</t>
  </si>
  <si>
    <t>Nov</t>
  </si>
  <si>
    <t>Dec</t>
  </si>
  <si>
    <t>PT1_Total_Revenue_</t>
  </si>
  <si>
    <t>PT2_Count_Orders</t>
  </si>
  <si>
    <t>PT4_Average_of_Revenue</t>
  </si>
  <si>
    <t>PT3_Total_Quantity</t>
  </si>
  <si>
    <t xml:space="preserve">Date updated through </t>
  </si>
  <si>
    <t>Sales Performance &amp; Business Insights Dashboard</t>
  </si>
  <si>
    <t>PivotTable Build Guide</t>
  </si>
  <si>
    <t>PivotTables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</si>
</sst>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00,,&quot;M&quot;;[&gt;=1000]\$#.00,&quot;K&quot;;\$###00"/>
  </numFmts>
  <fonts count="18">
    <font>
      <sz val="11"/>
      <color theme="1"/>
      <name val="Segoe UI"/>
      <family val="2"/>
      <scheme val="minor"/>
    </font>
    <font>
      <sz val="11"/>
      <color theme="1"/>
      <name val="Segoe UI"/>
      <family val="2"/>
      <scheme val="minor"/>
    </font>
    <font>
      <sz val="16"/>
      <color theme="1"/>
      <name val="Segoe UI"/>
      <family val="2"/>
      <scheme val="minor"/>
    </font>
    <font>
      <b/>
      <sz val="20"/>
      <color theme="3" tint="-0.499984740745262"/>
      <name val="Segoe UI"/>
      <family val="2"/>
      <scheme val="minor"/>
    </font>
    <font>
      <b/>
      <sz val="16"/>
      <color theme="0"/>
      <name val="Segoe UI"/>
      <family val="2"/>
      <scheme val="minor"/>
    </font>
    <font>
      <b/>
      <sz val="20"/>
      <color theme="6" tint="-0.499984740745262"/>
      <name val="Segoe UI"/>
      <family val="2"/>
      <scheme val="minor"/>
    </font>
    <font>
      <sz val="11"/>
      <name val="Carlito"/>
    </font>
    <font>
      <u/>
      <sz val="11"/>
      <color theme="10"/>
      <name val="Carlito"/>
    </font>
    <font>
      <sz val="11"/>
      <color theme="1"/>
      <name val="Rob"/>
    </font>
    <font>
      <b/>
      <sz val="11"/>
      <color theme="0"/>
      <name val="Roboto"/>
    </font>
    <font>
      <b/>
      <sz val="36"/>
      <color theme="0"/>
      <name val="Segoe UI"/>
      <family val="2"/>
      <scheme val="minor"/>
    </font>
    <font>
      <sz val="36"/>
      <color theme="0"/>
      <name val="Segoe UI"/>
      <family val="2"/>
      <scheme val="minor"/>
    </font>
    <font>
      <b/>
      <sz val="20"/>
      <color theme="3"/>
      <name val="Segoe UI"/>
      <family val="2"/>
      <scheme val="minor"/>
    </font>
    <font>
      <b/>
      <sz val="14"/>
      <name val="Segoe UI"/>
      <family val="2"/>
      <scheme val="minor"/>
    </font>
    <font>
      <sz val="14"/>
      <color theme="1"/>
      <name val="Segoe UI"/>
      <family val="2"/>
      <scheme val="minor"/>
    </font>
    <font>
      <b/>
      <sz val="16"/>
      <color theme="1"/>
      <name val="Segoe UI"/>
      <family val="2"/>
      <scheme val="minor"/>
    </font>
    <font>
      <sz val="13"/>
      <color theme="1"/>
      <name val="Segoe UI"/>
      <family val="2"/>
      <scheme val="minor"/>
    </font>
    <font>
      <sz val="15"/>
      <color theme="1"/>
      <name val="Segoe UI"/>
      <family val="2"/>
      <scheme val="minor"/>
    </font>
  </fonts>
  <fills count="8">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3"/>
        <bgColor indexed="64"/>
      </patternFill>
    </fill>
    <fill>
      <patternFill patternType="solid">
        <fgColor theme="0"/>
        <bgColor indexed="64"/>
      </patternFill>
    </fill>
  </fills>
  <borders count="7">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4"/>
      </left>
      <right style="thin">
        <color theme="4"/>
      </right>
      <top style="thin">
        <color theme="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6" fillId="0" borderId="0"/>
    <xf numFmtId="0" fontId="7" fillId="0" borderId="0" applyNumberFormat="0" applyFill="0" applyBorder="0" applyAlignment="0" applyProtection="0"/>
  </cellStyleXfs>
  <cellXfs count="41">
    <xf numFmtId="0" fontId="0" fillId="0" borderId="0" xfId="0"/>
    <xf numFmtId="14" fontId="0" fillId="0" borderId="0" xfId="0" applyNumberFormat="1"/>
    <xf numFmtId="2" fontId="0" fillId="0" borderId="0" xfId="0" applyNumberFormat="1"/>
    <xf numFmtId="9" fontId="0" fillId="0" borderId="0" xfId="1" applyFont="1"/>
    <xf numFmtId="0" fontId="3" fillId="0" borderId="0" xfId="0" applyFont="1"/>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5" fillId="0" borderId="0" xfId="0" applyFont="1"/>
    <xf numFmtId="0" fontId="2" fillId="3" borderId="1" xfId="0" applyFont="1" applyFill="1" applyBorder="1" applyAlignment="1">
      <alignment vertical="center" wrapText="1"/>
    </xf>
    <xf numFmtId="164" fontId="0" fillId="0" borderId="0" xfId="0" applyNumberFormat="1"/>
    <xf numFmtId="0" fontId="8" fillId="0" borderId="0" xfId="0" applyFont="1"/>
    <xf numFmtId="0" fontId="0" fillId="6" borderId="0" xfId="0" applyFill="1"/>
    <xf numFmtId="14" fontId="9" fillId="6" borderId="0" xfId="0" applyNumberFormat="1" applyFont="1" applyFill="1" applyAlignment="1">
      <alignment horizontal="left"/>
    </xf>
    <xf numFmtId="0" fontId="9" fillId="6" borderId="0" xfId="0" applyFont="1" applyFill="1" applyAlignment="1">
      <alignment horizontal="left"/>
    </xf>
    <xf numFmtId="0" fontId="12" fillId="0" borderId="0" xfId="0" applyFont="1"/>
    <xf numFmtId="0" fontId="13" fillId="3" borderId="3" xfId="0" applyFont="1" applyFill="1" applyBorder="1" applyAlignment="1">
      <alignment horizontal="center" vertical="center"/>
    </xf>
    <xf numFmtId="0" fontId="14" fillId="7" borderId="2" xfId="0" applyFont="1" applyFill="1" applyBorder="1" applyAlignment="1">
      <alignment vertical="center"/>
    </xf>
    <xf numFmtId="0" fontId="4" fillId="6" borderId="0" xfId="0" applyFont="1" applyFill="1"/>
    <xf numFmtId="0" fontId="0" fillId="0" borderId="2" xfId="0" applyBorder="1" applyAlignment="1">
      <alignment vertical="center"/>
    </xf>
    <xf numFmtId="0" fontId="15" fillId="0" borderId="2" xfId="0" applyFont="1" applyBorder="1" applyAlignment="1">
      <alignment vertical="center"/>
    </xf>
    <xf numFmtId="0" fontId="15" fillId="7" borderId="2" xfId="0" applyFont="1" applyFill="1" applyBorder="1" applyAlignment="1">
      <alignment vertical="center"/>
    </xf>
    <xf numFmtId="0" fontId="16" fillId="0" borderId="0" xfId="0" applyFont="1"/>
    <xf numFmtId="0" fontId="16" fillId="0" borderId="0" xfId="0" applyFont="1" applyAlignment="1">
      <alignment vertical="center"/>
    </xf>
    <xf numFmtId="0" fontId="15" fillId="0" borderId="4" xfId="0" applyFont="1" applyBorder="1" applyAlignment="1">
      <alignment vertical="center"/>
    </xf>
    <xf numFmtId="0" fontId="16" fillId="0" borderId="2" xfId="0" applyFont="1" applyBorder="1"/>
    <xf numFmtId="0" fontId="15" fillId="0" borderId="4" xfId="0" applyFont="1" applyBorder="1"/>
    <xf numFmtId="164" fontId="16" fillId="0" borderId="2" xfId="0" applyNumberFormat="1" applyFont="1" applyBorder="1"/>
    <xf numFmtId="164" fontId="17" fillId="0" borderId="2" xfId="0" applyNumberFormat="1" applyFont="1" applyBorder="1"/>
    <xf numFmtId="0" fontId="0" fillId="0" borderId="2" xfId="0" applyBorder="1" applyAlignment="1">
      <alignment horizontal="left"/>
    </xf>
    <xf numFmtId="0" fontId="16" fillId="0" borderId="2" xfId="0" pivotButton="1" applyFont="1" applyBorder="1"/>
    <xf numFmtId="0" fontId="16" fillId="0" borderId="2" xfId="0" applyFont="1" applyBorder="1" applyAlignment="1">
      <alignment horizontal="left"/>
    </xf>
    <xf numFmtId="0" fontId="15" fillId="7" borderId="5" xfId="0" applyFont="1" applyFill="1" applyBorder="1" applyAlignment="1">
      <alignment vertical="center"/>
    </xf>
    <xf numFmtId="0" fontId="17" fillId="0" borderId="2" xfId="0" applyFont="1" applyBorder="1" applyAlignment="1">
      <alignment horizontal="left"/>
    </xf>
    <xf numFmtId="0" fontId="15" fillId="0" borderId="2" xfId="0" applyFont="1" applyBorder="1"/>
    <xf numFmtId="0" fontId="16" fillId="0" borderId="6" xfId="0" applyFont="1" applyBorder="1" applyAlignment="1">
      <alignment vertical="center"/>
    </xf>
    <xf numFmtId="164" fontId="17" fillId="0" borderId="6" xfId="0" applyNumberFormat="1" applyFont="1" applyBorder="1" applyAlignment="1">
      <alignment vertical="center"/>
    </xf>
    <xf numFmtId="0" fontId="16" fillId="0" borderId="6" xfId="0" applyFont="1" applyBorder="1"/>
    <xf numFmtId="0" fontId="17" fillId="0" borderId="6" xfId="0" applyFont="1" applyBorder="1"/>
    <xf numFmtId="0" fontId="10" fillId="6" borderId="0" xfId="0" applyFont="1" applyFill="1" applyAlignment="1">
      <alignment horizontal="center" vertical="center"/>
    </xf>
    <xf numFmtId="0" fontId="11" fillId="6" borderId="0" xfId="0" applyFont="1" applyFill="1" applyAlignment="1">
      <alignment horizontal="center" vertical="center"/>
    </xf>
  </cellXfs>
  <cellStyles count="4">
    <cellStyle name="Hyperlink 2" xfId="3" xr:uid="{C2F072EC-1101-470F-A900-443734426AAA}"/>
    <cellStyle name="Normal" xfId="0" builtinId="0"/>
    <cellStyle name="Normal 2" xfId="2" xr:uid="{C19670B5-4B4D-47E2-8561-30E10DF8D3E1}"/>
    <cellStyle name="Percent" xfId="1" builtinId="5"/>
  </cellStyles>
  <dxfs count="97">
    <dxf>
      <font>
        <sz val="13"/>
      </font>
    </dxf>
    <dxf>
      <font>
        <sz val="13"/>
      </font>
    </dxf>
    <dxf>
      <font>
        <sz val="13"/>
      </font>
    </dxf>
    <dxf>
      <font>
        <sz val="13"/>
      </font>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5"/>
      </fon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alignment vertical="center"/>
    </dxf>
    <dxf>
      <alignment vertical="center"/>
    </dxf>
    <dxf>
      <alignment vertical="center"/>
    </dxf>
    <dxf>
      <font>
        <sz val="13"/>
      </font>
    </dxf>
    <dxf>
      <font>
        <sz val="13"/>
      </font>
    </dxf>
    <dxf>
      <font>
        <sz val="13"/>
      </font>
    </dxf>
    <dxf>
      <font>
        <sz val="15"/>
      </font>
    </dxf>
    <dxf>
      <font>
        <sz val="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3"/>
      </font>
    </dxf>
    <dxf>
      <font>
        <sz val="13"/>
      </font>
    </dxf>
    <dxf>
      <font>
        <sz val="13"/>
      </font>
    </dxf>
    <dxf>
      <font>
        <sz val="13"/>
      </font>
    </dxf>
    <dxf>
      <font>
        <sz val="13"/>
      </font>
    </dxf>
    <dxf>
      <font>
        <sz val="13"/>
      </font>
    </dxf>
    <dxf>
      <font>
        <sz val="15"/>
      </font>
    </dxf>
    <dxf>
      <font>
        <sz val="15"/>
      </font>
    </dxf>
    <dxf>
      <font>
        <sz val="13"/>
      </font>
    </dxf>
    <dxf>
      <font>
        <sz val="13"/>
      </font>
    </dxf>
    <dxf>
      <font>
        <sz val="13"/>
      </font>
    </dxf>
    <dxf>
      <font>
        <sz val="13"/>
      </font>
    </dxf>
    <dxf>
      <font>
        <sz val="1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3"/>
      </font>
    </dxf>
    <dxf>
      <font>
        <sz val="13"/>
      </font>
    </dxf>
    <dxf>
      <font>
        <sz val="15"/>
      </font>
    </dxf>
    <dxf>
      <font>
        <sz val="15"/>
      </font>
    </dxf>
    <dxf>
      <font>
        <sz val="13"/>
      </font>
    </dxf>
    <dxf>
      <font>
        <sz val="1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5"/>
      </font>
    </dxf>
    <dxf>
      <font>
        <sz val="13"/>
      </font>
    </dxf>
    <dxf>
      <font>
        <sz val="13"/>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sz val="15"/>
      </font>
    </dxf>
    <dxf>
      <font>
        <sz val="15"/>
      </font>
    </dxf>
    <dxf>
      <font>
        <sz val="13"/>
      </font>
    </dxf>
    <dxf>
      <font>
        <sz val="13"/>
      </font>
    </dxf>
    <dxf>
      <font>
        <sz val="13"/>
      </font>
    </dxf>
    <dxf>
      <font>
        <sz val="13"/>
      </font>
    </dxf>
    <dxf>
      <font>
        <sz val="1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5"/>
      </font>
    </dxf>
    <dxf>
      <font>
        <sz val="13"/>
      </font>
    </dxf>
    <dxf>
      <font>
        <sz val="13"/>
      </fon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ont>
        <sz val="15"/>
      </font>
    </dxf>
    <dxf>
      <font>
        <sz val="13"/>
      </font>
    </dxf>
    <dxf>
      <font>
        <sz val="13"/>
      </fon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2" formatCode="0.00"/>
    </dxf>
    <dxf>
      <numFmt numFmtId="2" formatCode="0.00"/>
    </dxf>
    <dxf>
      <font>
        <b val="0"/>
        <i val="0"/>
        <strike val="0"/>
        <condense val="0"/>
        <extend val="0"/>
        <outline val="0"/>
        <shadow val="0"/>
        <u val="none"/>
        <vertAlign val="baseline"/>
        <sz val="11"/>
        <color theme="1"/>
        <name val="Segoe UI"/>
        <family val="2"/>
        <scheme val="minor"/>
      </font>
      <numFmt numFmtId="0" formatCode="General"/>
    </dxf>
    <dxf>
      <font>
        <b val="0"/>
        <i val="0"/>
        <strike val="0"/>
        <condense val="0"/>
        <extend val="0"/>
        <outline val="0"/>
        <shadow val="0"/>
        <u val="none"/>
        <vertAlign val="baseline"/>
        <sz val="11"/>
        <color theme="1"/>
        <name val="Segoe UI"/>
        <family val="2"/>
        <scheme val="minor"/>
      </font>
    </dxf>
    <dxf>
      <numFmt numFmtId="2" formatCode="0.00"/>
    </dxf>
    <dxf>
      <numFmt numFmtId="165"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[Excel_Edited File+.xlsx]Pivot Tables!PivotTable7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Roboto" pitchFamily="2" charset="0"/>
                <a:ea typeface="Roboto" pitchFamily="2" charset="0"/>
                <a:cs typeface="+mn-cs"/>
              </a:defRPr>
            </a:pPr>
            <a:r>
              <a:rPr lang="en-US" b="1"/>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Roboto" pitchFamily="2" charset="0"/>
              <a:ea typeface="Roboto" pitchFamily="2"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0" sourceLinked="0"/>
          <c:spPr>
            <a:solidFill>
              <a:srgbClr val="FFFFFF">
                <a:alpha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0" sourceLinked="0"/>
          <c:spPr>
            <a:solidFill>
              <a:srgbClr val="FFFFFF">
                <a:alpha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alpha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1"/>
            </a:solidFill>
            <a:round/>
          </a:ln>
          <a:effectLst/>
        </c:spPr>
        <c:marker>
          <c:symbol val="none"/>
        </c:marker>
        <c:dLbl>
          <c:idx val="0"/>
          <c:numFmt formatCode="[&gt;=1000000]#,##0,,&quot;M&quot;;[&gt;=1000]#0,&quot;K&quot;;\$###00" sourceLinked="0"/>
          <c:spPr>
            <a:solidFill>
              <a:srgbClr val="FFFFFF">
                <a:alpha val="80000"/>
              </a:srgb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Roboto" pitchFamily="2" charset="0"/>
                  <a:ea typeface="Roboto" pitchFamily="2"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Tables'!$C$34</c:f>
              <c:strCache>
                <c:ptCount val="1"/>
                <c:pt idx="0">
                  <c:v>Total</c:v>
                </c:pt>
              </c:strCache>
            </c:strRef>
          </c:tx>
          <c:spPr>
            <a:ln w="28575" cap="rnd">
              <a:solidFill>
                <a:schemeClr val="accent1"/>
              </a:solidFill>
              <a:round/>
            </a:ln>
            <a:effectLst/>
          </c:spPr>
          <c:marker>
            <c:symbol val="none"/>
          </c:marker>
          <c:dLbls>
            <c:numFmt formatCode="[&gt;=1000000]#,##0,,&quot;M&quot;;[&gt;=1000]#0,&quot;K&quot;;\$###00" sourceLinked="0"/>
            <c:spPr>
              <a:solidFill>
                <a:srgbClr val="FFFFFF">
                  <a:alpha val="80000"/>
                </a:srgb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Roboto" pitchFamily="2" charset="0"/>
                    <a:ea typeface="Roboto" pitchFamily="2" charset="0"/>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Tables'!$B$35:$B$47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Tables'!$C$35:$C$47</c:f>
              <c:numCache>
                <c:formatCode>[&gt;=1000000]\$#,##0.00,,"M";[&gt;=1000]\$#.00,"K";\$###00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CC12-4557-9A9A-39DE8BDB002D}"/>
            </c:ext>
          </c:extLst>
        </c:ser>
        <c:dLbls>
          <c:showLegendKey val="0"/>
          <c:showVal val="0"/>
          <c:showCatName val="0"/>
          <c:showSerName val="0"/>
          <c:showPercent val="0"/>
          <c:showBubbleSize val="0"/>
        </c:dLbls>
        <c:smooth val="0"/>
        <c:axId val="1479792143"/>
        <c:axId val="1254263423"/>
      </c:lineChart>
      <c:catAx>
        <c:axId val="1479792143"/>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Roboto" pitchFamily="2" charset="0"/>
                    <a:ea typeface="Roboto" pitchFamily="2" charset="0"/>
                    <a:cs typeface="+mn-cs"/>
                  </a:defRPr>
                </a:pPr>
                <a:r>
                  <a:rPr lang="en-GB" sz="1200" b="1"/>
                  <a:t>Month</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Roboto" pitchFamily="2" charset="0"/>
                  <a:ea typeface="Roboto" pitchFamily="2" charset="0"/>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1254263423"/>
        <c:crosses val="autoZero"/>
        <c:auto val="1"/>
        <c:lblAlgn val="ctr"/>
        <c:lblOffset val="100"/>
        <c:noMultiLvlLbl val="0"/>
      </c:catAx>
      <c:valAx>
        <c:axId val="1254263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Roboto" pitchFamily="2" charset="0"/>
                    <a:ea typeface="Roboto" pitchFamily="2" charset="0"/>
                    <a:cs typeface="+mn-cs"/>
                  </a:defRPr>
                </a:pPr>
                <a:r>
                  <a:rPr lang="en-GB"/>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Roboto" pitchFamily="2" charset="0"/>
                  <a:ea typeface="Roboto" pitchFamily="2" charset="0"/>
                  <a:cs typeface="+mn-cs"/>
                </a:defRPr>
              </a:pPr>
              <a:endParaRPr lang="en-US"/>
            </a:p>
          </c:txPr>
        </c:title>
        <c:numFmt formatCode="[&gt;=1000000]#,##0,,&quot;M&quot;;[&gt;=1000]#0,&quot;K&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147979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oboto" pitchFamily="2" charset="0"/>
          <a:ea typeface="Roboto"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[Excel_Edited File+.xlsx]Pivot Tables!PivotTable8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Roboto" pitchFamily="2" charset="0"/>
                <a:ea typeface="Roboto" pitchFamily="2" charset="0"/>
                <a:cs typeface="+mn-cs"/>
              </a:defRPr>
            </a:pPr>
            <a:r>
              <a:rPr lang="en-US" b="1"/>
              <a:t>Revenue by Region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Roboto" pitchFamily="2" charset="0"/>
              <a:ea typeface="Roboto" pitchFamily="2" charset="0"/>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Tables'!$H$18</c:f>
              <c:strCache>
                <c:ptCount val="1"/>
                <c:pt idx="0">
                  <c:v>Total</c:v>
                </c:pt>
              </c:strCache>
            </c:strRef>
          </c:tx>
          <c:spPr>
            <a:solidFill>
              <a:schemeClr val="accent1"/>
            </a:solidFill>
            <a:ln>
              <a:noFill/>
            </a:ln>
            <a:effectLst/>
          </c:spPr>
          <c:invertIfNegative val="0"/>
          <c:dLbls>
            <c:numFmt formatCode="[&gt;=1000000]#,##0,,&quot;M&quot;;[&gt;=1000]#0,&quot;K&quot;;\$###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Tables'!$G$19:$G$24</c:f>
              <c:strCache>
                <c:ptCount val="5"/>
                <c:pt idx="0">
                  <c:v>Central</c:v>
                </c:pt>
                <c:pt idx="1">
                  <c:v>East</c:v>
                </c:pt>
                <c:pt idx="2">
                  <c:v>North</c:v>
                </c:pt>
                <c:pt idx="3">
                  <c:v>South</c:v>
                </c:pt>
                <c:pt idx="4">
                  <c:v>West</c:v>
                </c:pt>
              </c:strCache>
            </c:strRef>
          </c:cat>
          <c:val>
            <c:numRef>
              <c:f>'Pivot Tables'!$H$19:$H$24</c:f>
              <c:numCache>
                <c:formatCode>[&gt;=1000000]\$#,##0.00,,"M";[&gt;=1000]\$#.00,"K";\$###00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28DB-4856-9F56-82F8B0BA4E41}"/>
            </c:ext>
          </c:extLst>
        </c:ser>
        <c:dLbls>
          <c:dLblPos val="outEnd"/>
          <c:showLegendKey val="0"/>
          <c:showVal val="1"/>
          <c:showCatName val="0"/>
          <c:showSerName val="0"/>
          <c:showPercent val="0"/>
          <c:showBubbleSize val="0"/>
        </c:dLbls>
        <c:gapWidth val="219"/>
        <c:overlap val="-27"/>
        <c:axId val="1440267583"/>
        <c:axId val="1398061663"/>
      </c:barChart>
      <c:catAx>
        <c:axId val="1440267583"/>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Roboto" pitchFamily="2" charset="0"/>
                    <a:ea typeface="Roboto" pitchFamily="2" charset="0"/>
                    <a:cs typeface="+mn-cs"/>
                  </a:defRPr>
                </a:pPr>
                <a:r>
                  <a:rPr lang="en-GB" sz="1200" b="1"/>
                  <a:t>Region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Roboto" pitchFamily="2" charset="0"/>
                  <a:ea typeface="Roboto" pitchFamily="2" charset="0"/>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1398061663"/>
        <c:crosses val="autoZero"/>
        <c:auto val="1"/>
        <c:lblAlgn val="ctr"/>
        <c:lblOffset val="100"/>
        <c:noMultiLvlLbl val="0"/>
      </c:catAx>
      <c:valAx>
        <c:axId val="13980616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Roboto" pitchFamily="2" charset="0"/>
                    <a:ea typeface="Roboto" pitchFamily="2" charset="0"/>
                    <a:cs typeface="+mn-cs"/>
                  </a:defRPr>
                </a:pPr>
                <a:r>
                  <a:rPr lang="en-GB"/>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Roboto" pitchFamily="2" charset="0"/>
                  <a:ea typeface="Roboto" pitchFamily="2" charset="0"/>
                  <a:cs typeface="+mn-cs"/>
                </a:defRPr>
              </a:pPr>
              <a:endParaRPr lang="en-GB"/>
            </a:p>
          </c:txPr>
        </c:title>
        <c:numFmt formatCode="[&gt;=1000000]#,##0,,&quot;M&quot;;[&gt;=1000]#0,&quot;K&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144026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oboto" pitchFamily="2" charset="0"/>
          <a:ea typeface="Roboto"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[Excel_Edited File+.xlsx]Pivot Tables!PivotTable9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Roboto" pitchFamily="2" charset="0"/>
                <a:ea typeface="Roboto" pitchFamily="2" charset="0"/>
                <a:cs typeface="+mn-cs"/>
              </a:defRPr>
            </a:pPr>
            <a:r>
              <a:rPr lang="en-US" b="1"/>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Roboto" pitchFamily="2" charset="0"/>
              <a:ea typeface="Roboto" pitchFamily="2" charset="0"/>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0" sourceLinked="0"/>
          <c:spPr>
            <a:solidFill>
              <a:schemeClr val="bg1">
                <a:alpha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Tables'!$H$27</c:f>
              <c:strCache>
                <c:ptCount val="1"/>
                <c:pt idx="0">
                  <c:v>Total</c:v>
                </c:pt>
              </c:strCache>
            </c:strRef>
          </c:tx>
          <c:spPr>
            <a:solidFill>
              <a:schemeClr val="accent1"/>
            </a:solidFill>
            <a:ln>
              <a:noFill/>
            </a:ln>
            <a:effectLst/>
          </c:spPr>
          <c:invertIfNegative val="0"/>
          <c:dLbls>
            <c:numFmt formatCode="[&gt;=1000000]#,##0,,&quot;M&quot;;[&gt;=1000]#0,&quot;K&quot;;\$###00" sourceLinked="0"/>
            <c:spPr>
              <a:solidFill>
                <a:schemeClr val="bg1">
                  <a:alpha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Tables'!$G$28:$G$34</c:f>
              <c:strCache>
                <c:ptCount val="6"/>
                <c:pt idx="0">
                  <c:v>Computers</c:v>
                </c:pt>
                <c:pt idx="1">
                  <c:v>Monitors</c:v>
                </c:pt>
                <c:pt idx="2">
                  <c:v>Networking</c:v>
                </c:pt>
                <c:pt idx="3">
                  <c:v>Storage</c:v>
                </c:pt>
                <c:pt idx="4">
                  <c:v>Accessories</c:v>
                </c:pt>
                <c:pt idx="5">
                  <c:v>Office Supplies</c:v>
                </c:pt>
              </c:strCache>
            </c:strRef>
          </c:cat>
          <c:val>
            <c:numRef>
              <c:f>'Pivot Tables'!$H$28:$H$34</c:f>
              <c:numCache>
                <c:formatCode>[&gt;=1000000]\$#,##0.00,,"M";[&gt;=1000]\$#.00,"K";\$###00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BCA6-4E14-BC22-71BE40EC5074}"/>
            </c:ext>
          </c:extLst>
        </c:ser>
        <c:dLbls>
          <c:dLblPos val="outEnd"/>
          <c:showLegendKey val="0"/>
          <c:showVal val="1"/>
          <c:showCatName val="0"/>
          <c:showSerName val="0"/>
          <c:showPercent val="0"/>
          <c:showBubbleSize val="0"/>
        </c:dLbls>
        <c:gapWidth val="219"/>
        <c:overlap val="-27"/>
        <c:axId val="1637359343"/>
        <c:axId val="1254271103"/>
      </c:barChart>
      <c:catAx>
        <c:axId val="1637359343"/>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Roboto" pitchFamily="2" charset="0"/>
                    <a:ea typeface="Roboto" pitchFamily="2" charset="0"/>
                    <a:cs typeface="+mn-cs"/>
                  </a:defRPr>
                </a:pPr>
                <a:r>
                  <a:rPr lang="en-GB" sz="1200" b="1"/>
                  <a:t>Product Category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Roboto" pitchFamily="2" charset="0"/>
                  <a:ea typeface="Roboto" pitchFamily="2" charset="0"/>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1254271103"/>
        <c:crosses val="autoZero"/>
        <c:auto val="1"/>
        <c:lblAlgn val="ctr"/>
        <c:lblOffset val="100"/>
        <c:noMultiLvlLbl val="0"/>
      </c:catAx>
      <c:valAx>
        <c:axId val="12542711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Roboto" pitchFamily="2" charset="0"/>
                    <a:ea typeface="Roboto" pitchFamily="2" charset="0"/>
                    <a:cs typeface="+mn-cs"/>
                  </a:defRPr>
                </a:pPr>
                <a:r>
                  <a:rPr lang="en-GB"/>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Roboto" pitchFamily="2" charset="0"/>
                  <a:ea typeface="Roboto" pitchFamily="2" charset="0"/>
                  <a:cs typeface="+mn-cs"/>
                </a:defRPr>
              </a:pPr>
              <a:endParaRPr lang="en-GB"/>
            </a:p>
          </c:txPr>
        </c:title>
        <c:numFmt formatCode="[&gt;=1000000]#,##0,,&quot;M&quot;;[&gt;=1000]#0,&quot;K&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itchFamily="2" charset="0"/>
                <a:ea typeface="Roboto" pitchFamily="2" charset="0"/>
                <a:cs typeface="+mn-cs"/>
              </a:defRPr>
            </a:pPr>
            <a:endParaRPr lang="en-US"/>
          </a:p>
        </c:txPr>
        <c:crossAx val="163735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oboto" pitchFamily="2" charset="0"/>
          <a:ea typeface="Roboto"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[Excel_Edited File+.xlsx]Pivot Tables!PivotTable10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Roboto" pitchFamily="2" charset="0"/>
                <a:ea typeface="Roboto" pitchFamily="2" charset="0"/>
                <a:cs typeface="+mn-cs"/>
              </a:defRPr>
            </a:pPr>
            <a:r>
              <a:rPr lang="en-US" b="1"/>
              <a:t>Revenue by Sales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Roboto" pitchFamily="2" charset="0"/>
              <a:ea typeface="Roboto" pitchFamily="2"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t;=1000000]#,##0,,&quot;M&quot;;[&gt;=1000]#0,&quot;K&quot;;\$###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t;=1000000]#,##0,,&quot;M&quot;;[&gt;=1000]#0,&quot;K&quot;;\$###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t;=1000000]#,##0,,&quot;M&quot;;[&gt;=1000]#0,&quot;K&quot;;\$###00" sourceLinked="0"/>
          <c:spPr>
            <a:solidFill>
              <a:schemeClr val="bg1">
                <a:alpha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Tables'!$H$37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62-4B18-8A6D-7ABD3C33B8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62-4B18-8A6D-7ABD3C33B8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62-4B18-8A6D-7ABD3C33B8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62-4B18-8A6D-7ABD3C33B85D}"/>
              </c:ext>
            </c:extLst>
          </c:dPt>
          <c:dLbls>
            <c:numFmt formatCode="[&gt;=1000000]#,##0,,&quot;M&quot;;[&gt;=1000]#0,&quot;K&quot;;\$###00" sourceLinked="0"/>
            <c:spPr>
              <a:solidFill>
                <a:schemeClr val="bg1">
                  <a:alpha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Roboto" pitchFamily="2" charset="0"/>
                    <a:ea typeface="Roboto" pitchFamily="2" charset="0"/>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Tables'!$G$38:$G$42</c:f>
              <c:strCache>
                <c:ptCount val="4"/>
                <c:pt idx="0">
                  <c:v>Corporate Sales</c:v>
                </c:pt>
                <c:pt idx="1">
                  <c:v>Marketplace</c:v>
                </c:pt>
                <c:pt idx="2">
                  <c:v>Online</c:v>
                </c:pt>
                <c:pt idx="3">
                  <c:v>Retail Store</c:v>
                </c:pt>
              </c:strCache>
            </c:strRef>
          </c:cat>
          <c:val>
            <c:numRef>
              <c:f>'Pivot Tables'!$H$38:$H$42</c:f>
              <c:numCache>
                <c:formatCode>[&gt;=1000000]\$#,##0.00,,"M";[&gt;=1000]\$#.00,"K";\$###00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2A62-4B18-8A6D-7ABD3C33B85D}"/>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Roboto" pitchFamily="2" charset="0"/>
              <a:ea typeface="Roboto" pitchFamily="2"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Roboto" pitchFamily="2" charset="0"/>
          <a:ea typeface="Roboto"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[Excel_Edited File+.xlsx]Pivot Tables!PivotTable11</c:name>
    <c:fmtId val="2"/>
  </c:pivotSource>
  <c:chart>
    <c:title>
      <c:tx>
        <c:rich>
          <a:bodyPr rot="0" spcFirstLastPara="1" vertOverflow="ellipsis" vert="horz" wrap="square" anchor="ctr" anchorCtr="1"/>
          <a:lstStyle/>
          <a:p>
            <a:pPr>
              <a:defRPr lang="en-US" sz="1400" b="1" i="0" u="none" strike="noStrike" kern="1200" spc="0" baseline="0">
                <a:solidFill>
                  <a:schemeClr val="tx1"/>
                </a:solidFill>
                <a:latin typeface="Roboto" pitchFamily="2" charset="0"/>
                <a:ea typeface="Roboto" pitchFamily="2" charset="0"/>
                <a:cs typeface="+mn-cs"/>
              </a:defRPr>
            </a:pPr>
            <a:r>
              <a:rPr lang="en-US" sz="1400" b="1"/>
              <a:t>Top 5 Products by Revenue</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Roboto" pitchFamily="2" charset="0"/>
              <a:ea typeface="Roboto" pitchFamily="2" charset="0"/>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0" sourceLinked="0"/>
          <c:spPr>
            <a:solidFill>
              <a:schemeClr val="bg1">
                <a:alpha val="80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0" sourceLinked="0"/>
          <c:spPr>
            <a:solidFill>
              <a:schemeClr val="bg1">
                <a:alpha val="80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0" sourceLinked="0"/>
          <c:spPr>
            <a:solidFill>
              <a:schemeClr val="bg1">
                <a:alpha val="80000"/>
              </a:schemeClr>
            </a:solidFill>
            <a:ln>
              <a:noFill/>
            </a:ln>
            <a:effectLst/>
          </c:spPr>
          <c:txPr>
            <a:bodyPr rot="0" spcFirstLastPara="1" vertOverflow="ellipsis" vert="horz" wrap="square" anchor="ctr" anchorCtr="1"/>
            <a:lstStyle/>
            <a:p>
              <a:pPr>
                <a:defRPr lang="en-US" sz="900" b="0" i="0" u="none" strike="noStrike" kern="1200" baseline="0">
                  <a:solidFill>
                    <a:schemeClr val="tx1"/>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Tables'!$H$45</c:f>
              <c:strCache>
                <c:ptCount val="1"/>
                <c:pt idx="0">
                  <c:v>Total</c:v>
                </c:pt>
              </c:strCache>
            </c:strRef>
          </c:tx>
          <c:spPr>
            <a:solidFill>
              <a:schemeClr val="accent1"/>
            </a:solidFill>
            <a:ln>
              <a:noFill/>
            </a:ln>
            <a:effectLst/>
          </c:spPr>
          <c:invertIfNegative val="0"/>
          <c:dLbls>
            <c:numFmt formatCode="[&gt;=1000000]#,##0,,&quot;M&quot;;[&gt;=1000]#0,&quot;K&quot;;\$###00" sourceLinked="0"/>
            <c:spPr>
              <a:solidFill>
                <a:schemeClr val="bg1">
                  <a:alpha val="80000"/>
                </a:schemeClr>
              </a:solidFill>
              <a:ln>
                <a:noFill/>
              </a:ln>
              <a:effectLst/>
            </c:spPr>
            <c:txPr>
              <a:bodyPr rot="0" spcFirstLastPara="1" vertOverflow="ellipsis" vert="horz" wrap="square" anchor="ctr" anchorCtr="1"/>
              <a:lstStyle/>
              <a:p>
                <a:pPr>
                  <a:defRPr lang="en-US" sz="900" b="0" i="0" u="none" strike="noStrike" kern="1200" baseline="0">
                    <a:solidFill>
                      <a:schemeClr val="tx1"/>
                    </a:solidFill>
                    <a:latin typeface="Roboto" pitchFamily="2" charset="0"/>
                    <a:ea typeface="Roboto" pitchFamily="2"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Tables'!$G$46:$G$51</c:f>
              <c:strCache>
                <c:ptCount val="5"/>
                <c:pt idx="0">
                  <c:v>Gaming Laptop</c:v>
                </c:pt>
                <c:pt idx="1">
                  <c:v>Laptop Air 13</c:v>
                </c:pt>
                <c:pt idx="2">
                  <c:v>Laptop Pro 14</c:v>
                </c:pt>
                <c:pt idx="3">
                  <c:v>All-in-One PC</c:v>
                </c:pt>
                <c:pt idx="4">
                  <c:v>Ultrawide Monitor</c:v>
                </c:pt>
              </c:strCache>
            </c:strRef>
          </c:cat>
          <c:val>
            <c:numRef>
              <c:f>'Pivot Tables'!$H$46:$H$51</c:f>
              <c:numCache>
                <c:formatCode>[&gt;=1000000]\$#,##0.00,,"M";[&gt;=1000]\$#.00,"K";\$###00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827F-4407-B9EB-16365732A492}"/>
            </c:ext>
          </c:extLst>
        </c:ser>
        <c:dLbls>
          <c:dLblPos val="outEnd"/>
          <c:showLegendKey val="0"/>
          <c:showVal val="1"/>
          <c:showCatName val="0"/>
          <c:showSerName val="0"/>
          <c:showPercent val="0"/>
          <c:showBubbleSize val="0"/>
        </c:dLbls>
        <c:gapWidth val="182"/>
        <c:axId val="1637333359"/>
        <c:axId val="1398067903"/>
      </c:barChart>
      <c:catAx>
        <c:axId val="1637333359"/>
        <c:scaling>
          <c:orientation val="maxMin"/>
        </c:scaling>
        <c:delete val="0"/>
        <c:axPos val="l"/>
        <c:title>
          <c:tx>
            <c:rich>
              <a:bodyPr rot="-5400000" spcFirstLastPara="1" vertOverflow="ellipsis" vert="horz" wrap="square" anchor="ctr" anchorCtr="1"/>
              <a:lstStyle/>
              <a:p>
                <a:pPr>
                  <a:defRPr lang="en-US" sz="900" b="0" i="0" u="none" strike="noStrike" kern="1200" baseline="0">
                    <a:solidFill>
                      <a:schemeClr val="tx1"/>
                    </a:solidFill>
                    <a:latin typeface="Roboto" pitchFamily="2" charset="0"/>
                    <a:ea typeface="Roboto" pitchFamily="2" charset="0"/>
                    <a:cs typeface="+mn-cs"/>
                  </a:defRPr>
                </a:pPr>
                <a:r>
                  <a:rPr lang="en-GB"/>
                  <a:t>Top 5 Products</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1"/>
                  </a:solidFill>
                  <a:latin typeface="Roboto" pitchFamily="2" charset="0"/>
                  <a:ea typeface="Roboto" pitchFamily="2" charset="0"/>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Roboto" pitchFamily="2" charset="0"/>
                <a:ea typeface="Roboto" pitchFamily="2" charset="0"/>
                <a:cs typeface="+mn-cs"/>
              </a:defRPr>
            </a:pPr>
            <a:endParaRPr lang="en-US"/>
          </a:p>
        </c:txPr>
        <c:crossAx val="1398067903"/>
        <c:crosses val="autoZero"/>
        <c:auto val="1"/>
        <c:lblAlgn val="ctr"/>
        <c:lblOffset val="100"/>
        <c:noMultiLvlLbl val="0"/>
      </c:catAx>
      <c:valAx>
        <c:axId val="1398067903"/>
        <c:scaling>
          <c:orientation val="minMax"/>
        </c:scaling>
        <c:delete val="0"/>
        <c:axPos val="t"/>
        <c:title>
          <c:tx>
            <c:rich>
              <a:bodyPr rot="0" spcFirstLastPara="1" vertOverflow="ellipsis" vert="horz" wrap="square" anchor="ctr" anchorCtr="1"/>
              <a:lstStyle/>
              <a:p>
                <a:pPr>
                  <a:defRPr lang="en-US" sz="900" b="0" i="0" u="none" strike="noStrike" kern="1200" baseline="0">
                    <a:solidFill>
                      <a:schemeClr val="tx1"/>
                    </a:solidFill>
                    <a:latin typeface="Roboto" pitchFamily="2" charset="0"/>
                    <a:ea typeface="Roboto" pitchFamily="2" charset="0"/>
                    <a:cs typeface="+mn-cs"/>
                  </a:defRPr>
                </a:pPr>
                <a:r>
                  <a:rPr lang="en-GB"/>
                  <a:t>Revenue ($)</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Roboto" pitchFamily="2" charset="0"/>
                  <a:ea typeface="Roboto" pitchFamily="2" charset="0"/>
                  <a:cs typeface="+mn-cs"/>
                </a:defRPr>
              </a:pPr>
              <a:endParaRPr lang="en-US"/>
            </a:p>
          </c:txPr>
        </c:title>
        <c:numFmt formatCode="[&gt;=1000000]#,##0,,&quot;M&quot;;[&gt;=1000]#0,&quot;K&quot;;\$###0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Roboto" pitchFamily="2" charset="0"/>
                <a:ea typeface="Roboto" pitchFamily="2" charset="0"/>
                <a:cs typeface="+mn-cs"/>
              </a:defRPr>
            </a:pPr>
            <a:endParaRPr lang="en-US"/>
          </a:p>
        </c:txPr>
        <c:crossAx val="1637333359"/>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Roboto" pitchFamily="2" charset="0"/>
          <a:ea typeface="Roboto" pitchFamily="2" charset="0"/>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58795</xdr:colOff>
      <xdr:row>32</xdr:row>
      <xdr:rowOff>74411</xdr:rowOff>
    </xdr:from>
    <xdr:to>
      <xdr:col>3</xdr:col>
      <xdr:colOff>0</xdr:colOff>
      <xdr:row>42</xdr:row>
      <xdr:rowOff>71022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A586B1E-4E18-41CC-B325-A5CEE560756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795" y="6605840"/>
              <a:ext cx="1914241" cy="20376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59845</xdr:colOff>
      <xdr:row>15</xdr:row>
      <xdr:rowOff>109508</xdr:rowOff>
    </xdr:from>
    <xdr:to>
      <xdr:col>3</xdr:col>
      <xdr:colOff>2279</xdr:colOff>
      <xdr:row>24</xdr:row>
      <xdr:rowOff>118997</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43FD5573-BBAB-44AF-96FB-748916B87E2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59845" y="3171115"/>
              <a:ext cx="1915470" cy="18464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59845</xdr:colOff>
      <xdr:row>3</xdr:row>
      <xdr:rowOff>30599</xdr:rowOff>
    </xdr:from>
    <xdr:to>
      <xdr:col>3</xdr:col>
      <xdr:colOff>2279</xdr:colOff>
      <xdr:row>14</xdr:row>
      <xdr:rowOff>94074</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3A76ACC4-A7C7-4448-BA51-02A319B9F0B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9845" y="642920"/>
              <a:ext cx="1915470" cy="23086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58795</xdr:colOff>
      <xdr:row>25</xdr:row>
      <xdr:rowOff>134431</xdr:rowOff>
    </xdr:from>
    <xdr:to>
      <xdr:col>3</xdr:col>
      <xdr:colOff>3328</xdr:colOff>
      <xdr:row>31</xdr:row>
      <xdr:rowOff>58976</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D43A77A6-079F-4A83-81FE-BFA25DE7E39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8795" y="5237110"/>
              <a:ext cx="1917569" cy="11491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84902</xdr:colOff>
      <xdr:row>3</xdr:row>
      <xdr:rowOff>30599</xdr:rowOff>
    </xdr:from>
    <xdr:to>
      <xdr:col>6</xdr:col>
      <xdr:colOff>75407</xdr:colOff>
      <xdr:row>9</xdr:row>
      <xdr:rowOff>194134</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A3F22C41-BAE3-4153-B2D9-D92D72F8CD6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057938" y="642920"/>
              <a:ext cx="1963540" cy="13881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absolute">
    <xdr:from>
      <xdr:col>18</xdr:col>
      <xdr:colOff>374911</xdr:colOff>
      <xdr:row>3</xdr:row>
      <xdr:rowOff>30599</xdr:rowOff>
    </xdr:from>
    <xdr:to>
      <xdr:col>25</xdr:col>
      <xdr:colOff>648308</xdr:colOff>
      <xdr:row>9</xdr:row>
      <xdr:rowOff>194134</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59DC4BD5-0A16-4329-9935-11914E89387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2213125" y="642920"/>
              <a:ext cx="5455451" cy="13881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absolute">
    <xdr:from>
      <xdr:col>6</xdr:col>
      <xdr:colOff>205293</xdr:colOff>
      <xdr:row>3</xdr:row>
      <xdr:rowOff>30599</xdr:rowOff>
    </xdr:from>
    <xdr:to>
      <xdr:col>11</xdr:col>
      <xdr:colOff>23005</xdr:colOff>
      <xdr:row>9</xdr:row>
      <xdr:rowOff>194134</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7B92EBE9-5E65-45E8-B5DA-4DD5ADDDCFFE}"/>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4151364" y="642920"/>
              <a:ext cx="3106105" cy="13881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absolute">
    <xdr:from>
      <xdr:col>11</xdr:col>
      <xdr:colOff>152892</xdr:colOff>
      <xdr:row>3</xdr:row>
      <xdr:rowOff>30599</xdr:rowOff>
    </xdr:from>
    <xdr:to>
      <xdr:col>18</xdr:col>
      <xdr:colOff>248663</xdr:colOff>
      <xdr:row>9</xdr:row>
      <xdr:rowOff>194134</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F2723C6C-DA66-4604-AD3D-699DE329062D}"/>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7387356" y="642920"/>
              <a:ext cx="4699521" cy="13881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xdr:from>
      <xdr:col>3</xdr:col>
      <xdr:colOff>139973</xdr:colOff>
      <xdr:row>14</xdr:row>
      <xdr:rowOff>113778</xdr:rowOff>
    </xdr:from>
    <xdr:to>
      <xdr:col>26</xdr:col>
      <xdr:colOff>2748</xdr:colOff>
      <xdr:row>28</xdr:row>
      <xdr:rowOff>135025</xdr:rowOff>
    </xdr:to>
    <xdr:grpSp>
      <xdr:nvGrpSpPr>
        <xdr:cNvPr id="24" name="Group 23">
          <a:extLst>
            <a:ext uri="{FF2B5EF4-FFF2-40B4-BE49-F238E27FC236}">
              <a16:creationId xmlns:a16="http://schemas.microsoft.com/office/drawing/2014/main" id="{838A65BF-566A-EFB9-1301-6E2676D16407}"/>
            </a:ext>
          </a:extLst>
        </xdr:cNvPr>
        <xdr:cNvGrpSpPr/>
      </xdr:nvGrpSpPr>
      <xdr:grpSpPr>
        <a:xfrm>
          <a:off x="2140223" y="3003028"/>
          <a:ext cx="15769525" cy="2910497"/>
          <a:chOff x="2115529" y="3153752"/>
          <a:chExt cx="15008700" cy="2984581"/>
        </a:xfrm>
      </xdr:grpSpPr>
      <xdr:graphicFrame macro="">
        <xdr:nvGraphicFramePr>
          <xdr:cNvPr id="10" name="PC01_Month">
            <a:extLst>
              <a:ext uri="{FF2B5EF4-FFF2-40B4-BE49-F238E27FC236}">
                <a16:creationId xmlns:a16="http://schemas.microsoft.com/office/drawing/2014/main" id="{2EA5DF32-FD8F-4DE1-95DC-6781220F0E98}"/>
              </a:ext>
            </a:extLst>
          </xdr:cNvPr>
          <xdr:cNvGraphicFramePr>
            <a:graphicFrameLocks/>
          </xdr:cNvGraphicFramePr>
        </xdr:nvGraphicFramePr>
        <xdr:xfrm>
          <a:off x="2115529" y="3153752"/>
          <a:ext cx="7801163" cy="296708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PC02_Region">
            <a:extLst>
              <a:ext uri="{FF2B5EF4-FFF2-40B4-BE49-F238E27FC236}">
                <a16:creationId xmlns:a16="http://schemas.microsoft.com/office/drawing/2014/main" id="{05833047-4436-4476-A6CC-7FDCA406E37F}"/>
              </a:ext>
            </a:extLst>
          </xdr:cNvPr>
          <xdr:cNvGraphicFramePr>
            <a:graphicFrameLocks/>
          </xdr:cNvGraphicFramePr>
        </xdr:nvGraphicFramePr>
        <xdr:xfrm>
          <a:off x="10055580" y="3153752"/>
          <a:ext cx="7068649" cy="298458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xdr:col>
      <xdr:colOff>161258</xdr:colOff>
      <xdr:row>29</xdr:row>
      <xdr:rowOff>40217</xdr:rowOff>
    </xdr:from>
    <xdr:to>
      <xdr:col>26</xdr:col>
      <xdr:colOff>2611</xdr:colOff>
      <xdr:row>42</xdr:row>
      <xdr:rowOff>71022</xdr:rowOff>
    </xdr:to>
    <xdr:grpSp>
      <xdr:nvGrpSpPr>
        <xdr:cNvPr id="25" name="Group 24">
          <a:extLst>
            <a:ext uri="{FF2B5EF4-FFF2-40B4-BE49-F238E27FC236}">
              <a16:creationId xmlns:a16="http://schemas.microsoft.com/office/drawing/2014/main" id="{A888DBC8-1530-435D-205C-E3C70DCBBBBA}"/>
            </a:ext>
          </a:extLst>
        </xdr:cNvPr>
        <xdr:cNvGrpSpPr/>
      </xdr:nvGrpSpPr>
      <xdr:grpSpPr>
        <a:xfrm>
          <a:off x="2161508" y="6025092"/>
          <a:ext cx="15748103" cy="2713680"/>
          <a:chOff x="2136814" y="6260863"/>
          <a:chExt cx="14987278" cy="2782472"/>
        </a:xfrm>
      </xdr:grpSpPr>
      <xdr:graphicFrame macro="">
        <xdr:nvGraphicFramePr>
          <xdr:cNvPr id="12" name="PC03_Product_Category">
            <a:extLst>
              <a:ext uri="{FF2B5EF4-FFF2-40B4-BE49-F238E27FC236}">
                <a16:creationId xmlns:a16="http://schemas.microsoft.com/office/drawing/2014/main" id="{4538886C-B1A4-4660-B521-98DC993AC9B1}"/>
              </a:ext>
            </a:extLst>
          </xdr:cNvPr>
          <xdr:cNvGraphicFramePr>
            <a:graphicFrameLocks/>
          </xdr:cNvGraphicFramePr>
        </xdr:nvGraphicFramePr>
        <xdr:xfrm>
          <a:off x="2136814" y="6260863"/>
          <a:ext cx="5567950" cy="278247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3" name="PC04_Sales Channel">
            <a:extLst>
              <a:ext uri="{FF2B5EF4-FFF2-40B4-BE49-F238E27FC236}">
                <a16:creationId xmlns:a16="http://schemas.microsoft.com/office/drawing/2014/main" id="{C36FB7E2-2B19-4620-9D4E-172738B9BFFC}"/>
              </a:ext>
            </a:extLst>
          </xdr:cNvPr>
          <xdr:cNvGraphicFramePr>
            <a:graphicFrameLocks/>
          </xdr:cNvGraphicFramePr>
        </xdr:nvGraphicFramePr>
        <xdr:xfrm>
          <a:off x="7862290" y="6260863"/>
          <a:ext cx="3739443" cy="27113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PC05_Products_Category">
            <a:extLst>
              <a:ext uri="{FF2B5EF4-FFF2-40B4-BE49-F238E27FC236}">
                <a16:creationId xmlns:a16="http://schemas.microsoft.com/office/drawing/2014/main" id="{169E395D-6F49-42AB-A422-1DA3611DB23A}"/>
              </a:ext>
            </a:extLst>
          </xdr:cNvPr>
          <xdr:cNvGraphicFramePr>
            <a:graphicFrameLocks/>
          </xdr:cNvGraphicFramePr>
        </xdr:nvGraphicFramePr>
        <xdr:xfrm>
          <a:off x="11759259" y="6260863"/>
          <a:ext cx="5364833" cy="278033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xdr:col>
      <xdr:colOff>84902</xdr:colOff>
      <xdr:row>10</xdr:row>
      <xdr:rowOff>99325</xdr:rowOff>
    </xdr:from>
    <xdr:to>
      <xdr:col>25</xdr:col>
      <xdr:colOff>648308</xdr:colOff>
      <xdr:row>14</xdr:row>
      <xdr:rowOff>3393</xdr:rowOff>
    </xdr:to>
    <xdr:grpSp>
      <xdr:nvGrpSpPr>
        <xdr:cNvPr id="33" name="Group 32">
          <a:extLst>
            <a:ext uri="{FF2B5EF4-FFF2-40B4-BE49-F238E27FC236}">
              <a16:creationId xmlns:a16="http://schemas.microsoft.com/office/drawing/2014/main" id="{C1DDF804-BCE1-C2A1-9855-41B2AB8A5D4D}"/>
            </a:ext>
          </a:extLst>
        </xdr:cNvPr>
        <xdr:cNvGrpSpPr/>
      </xdr:nvGrpSpPr>
      <xdr:grpSpPr>
        <a:xfrm>
          <a:off x="2085152" y="2163075"/>
          <a:ext cx="15803406" cy="729568"/>
          <a:chOff x="2060458" y="2215992"/>
          <a:chExt cx="15627017" cy="750734"/>
        </a:xfrm>
      </xdr:grpSpPr>
      <xdr:grpSp>
        <xdr:nvGrpSpPr>
          <xdr:cNvPr id="18" name="Group 17">
            <a:extLst>
              <a:ext uri="{FF2B5EF4-FFF2-40B4-BE49-F238E27FC236}">
                <a16:creationId xmlns:a16="http://schemas.microsoft.com/office/drawing/2014/main" id="{1DD00DDA-696D-B72A-A49A-DAAB60CBA9F2}"/>
              </a:ext>
            </a:extLst>
          </xdr:cNvPr>
          <xdr:cNvGrpSpPr/>
        </xdr:nvGrpSpPr>
        <xdr:grpSpPr>
          <a:xfrm>
            <a:off x="2060458" y="2215992"/>
            <a:ext cx="3665888" cy="742296"/>
            <a:chOff x="2060458" y="2296494"/>
            <a:chExt cx="3530718" cy="742296"/>
          </a:xfrm>
        </xdr:grpSpPr>
        <xdr:sp macro="" textlink="">
          <xdr:nvSpPr>
            <xdr:cNvPr id="15" name="Rectangle: Rounded Corners 14">
              <a:extLst>
                <a:ext uri="{FF2B5EF4-FFF2-40B4-BE49-F238E27FC236}">
                  <a16:creationId xmlns:a16="http://schemas.microsoft.com/office/drawing/2014/main" id="{3715DDE5-4504-DFA3-C512-61F3D5243429}"/>
                </a:ext>
              </a:extLst>
            </xdr:cNvPr>
            <xdr:cNvSpPr/>
          </xdr:nvSpPr>
          <xdr:spPr>
            <a:xfrm>
              <a:off x="2060458" y="2296494"/>
              <a:ext cx="3530718" cy="742296"/>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latin typeface="Roboto" pitchFamily="2" charset="0"/>
                <a:ea typeface="Roboto" pitchFamily="2" charset="0"/>
              </a:endParaRPr>
            </a:p>
          </xdr:txBody>
        </xdr:sp>
        <xdr:sp macro="" textlink="'Pivot Tables'!B19">
          <xdr:nvSpPr>
            <xdr:cNvPr id="16" name="TextBox 15">
              <a:extLst>
                <a:ext uri="{FF2B5EF4-FFF2-40B4-BE49-F238E27FC236}">
                  <a16:creationId xmlns:a16="http://schemas.microsoft.com/office/drawing/2014/main" id="{96BF171C-2319-C92E-8BBD-321E32DA2564}"/>
                </a:ext>
              </a:extLst>
            </xdr:cNvPr>
            <xdr:cNvSpPr txBox="1"/>
          </xdr:nvSpPr>
          <xdr:spPr>
            <a:xfrm>
              <a:off x="3198005" y="2620294"/>
              <a:ext cx="1258935" cy="325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227AD6-75B1-4797-918C-FDDA79C2000B}" type="TxLink">
                <a:rPr lang="en-US" sz="2400" b="1" i="0" u="none" strike="noStrike">
                  <a:solidFill>
                    <a:schemeClr val="accent1"/>
                  </a:solidFill>
                  <a:latin typeface="Roboto" pitchFamily="2" charset="0"/>
                  <a:ea typeface="Roboto" pitchFamily="2" charset="0"/>
                  <a:cs typeface="Segoe UI"/>
                </a:rPr>
                <a:pPr algn="ctr"/>
                <a:t>$2.45M</a:t>
              </a:fld>
              <a:endParaRPr lang="en-US" sz="2400" b="1">
                <a:solidFill>
                  <a:schemeClr val="accent1"/>
                </a:solidFill>
                <a:latin typeface="Roboto" pitchFamily="2" charset="0"/>
                <a:ea typeface="Roboto" pitchFamily="2" charset="0"/>
              </a:endParaRPr>
            </a:p>
          </xdr:txBody>
        </xdr:sp>
        <xdr:sp macro="" textlink="">
          <xdr:nvSpPr>
            <xdr:cNvPr id="17" name="TextBox 16">
              <a:extLst>
                <a:ext uri="{FF2B5EF4-FFF2-40B4-BE49-F238E27FC236}">
                  <a16:creationId xmlns:a16="http://schemas.microsoft.com/office/drawing/2014/main" id="{AFA12BFE-E9A0-4B52-8D3C-8462F09E8DC9}"/>
                </a:ext>
              </a:extLst>
            </xdr:cNvPr>
            <xdr:cNvSpPr txBox="1"/>
          </xdr:nvSpPr>
          <xdr:spPr>
            <a:xfrm>
              <a:off x="2966422" y="2313425"/>
              <a:ext cx="1718789" cy="270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lumMod val="75000"/>
                      <a:lumOff val="25000"/>
                    </a:schemeClr>
                  </a:solidFill>
                  <a:latin typeface="Roboto" pitchFamily="2" charset="0"/>
                  <a:ea typeface="Roboto" pitchFamily="2" charset="0"/>
                  <a:cs typeface="Segoe UI"/>
                </a:rPr>
                <a:t>Total</a:t>
              </a:r>
              <a:r>
                <a:rPr lang="en-US" sz="1800" b="1" i="0" u="none" strike="noStrike" baseline="0">
                  <a:solidFill>
                    <a:schemeClr val="tx1">
                      <a:lumMod val="75000"/>
                      <a:lumOff val="25000"/>
                    </a:schemeClr>
                  </a:solidFill>
                  <a:latin typeface="Roboto" pitchFamily="2" charset="0"/>
                  <a:ea typeface="Roboto" pitchFamily="2" charset="0"/>
                  <a:cs typeface="Segoe UI"/>
                </a:rPr>
                <a:t> Revenue</a:t>
              </a:r>
              <a:endParaRPr lang="en-US" sz="1800" b="1" i="0" u="none" strike="noStrike">
                <a:solidFill>
                  <a:schemeClr val="tx1">
                    <a:lumMod val="75000"/>
                    <a:lumOff val="25000"/>
                  </a:schemeClr>
                </a:solidFill>
                <a:latin typeface="Roboto" pitchFamily="2" charset="0"/>
                <a:ea typeface="Roboto" pitchFamily="2" charset="0"/>
                <a:cs typeface="Segoe UI"/>
              </a:endParaRPr>
            </a:p>
          </xdr:txBody>
        </xdr:sp>
        <xdr:pic>
          <xdr:nvPicPr>
            <xdr:cNvPr id="19" name="Graphic 18" descr="Dollar with solid fill">
              <a:extLst>
                <a:ext uri="{FF2B5EF4-FFF2-40B4-BE49-F238E27FC236}">
                  <a16:creationId xmlns:a16="http://schemas.microsoft.com/office/drawing/2014/main" id="{D23AC3B2-D909-AF0A-395F-804BD89C4EE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47039" y="2373003"/>
              <a:ext cx="537345" cy="603117"/>
            </a:xfrm>
            <a:prstGeom prst="rect">
              <a:avLst/>
            </a:prstGeom>
            <a:effectLst/>
          </xdr:spPr>
        </xdr:pic>
      </xdr:grpSp>
      <xdr:grpSp>
        <xdr:nvGrpSpPr>
          <xdr:cNvPr id="20" name="Group 19">
            <a:extLst>
              <a:ext uri="{FF2B5EF4-FFF2-40B4-BE49-F238E27FC236}">
                <a16:creationId xmlns:a16="http://schemas.microsoft.com/office/drawing/2014/main" id="{BAA24E67-D391-8472-1C65-FCC58EB50499}"/>
              </a:ext>
            </a:extLst>
          </xdr:cNvPr>
          <xdr:cNvGrpSpPr/>
        </xdr:nvGrpSpPr>
        <xdr:grpSpPr>
          <a:xfrm>
            <a:off x="6048572" y="2215992"/>
            <a:ext cx="3664281" cy="742296"/>
            <a:chOff x="5917332" y="2296494"/>
            <a:chExt cx="3529171" cy="742296"/>
          </a:xfrm>
        </xdr:grpSpPr>
        <xdr:sp macro="" textlink="">
          <xdr:nvSpPr>
            <xdr:cNvPr id="84" name="Rectangle: Rounded Corners 83">
              <a:extLst>
                <a:ext uri="{FF2B5EF4-FFF2-40B4-BE49-F238E27FC236}">
                  <a16:creationId xmlns:a16="http://schemas.microsoft.com/office/drawing/2014/main" id="{52FF8D7A-F8E1-FF03-C17C-81F8846D3779}"/>
                </a:ext>
              </a:extLst>
            </xdr:cNvPr>
            <xdr:cNvSpPr/>
          </xdr:nvSpPr>
          <xdr:spPr>
            <a:xfrm>
              <a:off x="5917332" y="2296494"/>
              <a:ext cx="3529171" cy="742296"/>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sp macro="" textlink="'Pivot Tables'!B23">
          <xdr:nvSpPr>
            <xdr:cNvPr id="88" name="TextBox 87">
              <a:extLst>
                <a:ext uri="{FF2B5EF4-FFF2-40B4-BE49-F238E27FC236}">
                  <a16:creationId xmlns:a16="http://schemas.microsoft.com/office/drawing/2014/main" id="{C9A83F9F-CBEB-B358-0233-62AE9A5D64A8}"/>
                </a:ext>
              </a:extLst>
            </xdr:cNvPr>
            <xdr:cNvSpPr txBox="1"/>
          </xdr:nvSpPr>
          <xdr:spPr>
            <a:xfrm>
              <a:off x="7216831" y="2620294"/>
              <a:ext cx="930174" cy="375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D5EFE2-127A-4EC7-AC03-A473136A910D}" type="TxLink">
                <a:rPr lang="en-US" sz="2400" b="1" i="0" u="none" strike="noStrike">
                  <a:solidFill>
                    <a:schemeClr val="accent1"/>
                  </a:solidFill>
                  <a:latin typeface="Roboto" pitchFamily="2" charset="0"/>
                  <a:ea typeface="Roboto" pitchFamily="2" charset="0"/>
                  <a:cs typeface="Segoe UI"/>
                </a:rPr>
                <a:pPr algn="ctr"/>
                <a:t>2000</a:t>
              </a:fld>
              <a:endParaRPr lang="en-US" sz="2400" b="1">
                <a:solidFill>
                  <a:schemeClr val="accent1"/>
                </a:solidFill>
                <a:latin typeface="Roboto" pitchFamily="2" charset="0"/>
                <a:ea typeface="Roboto" pitchFamily="2" charset="0"/>
              </a:endParaRPr>
            </a:p>
          </xdr:txBody>
        </xdr:sp>
        <xdr:sp macro="" textlink="">
          <xdr:nvSpPr>
            <xdr:cNvPr id="89" name="TextBox 88">
              <a:extLst>
                <a:ext uri="{FF2B5EF4-FFF2-40B4-BE49-F238E27FC236}">
                  <a16:creationId xmlns:a16="http://schemas.microsoft.com/office/drawing/2014/main" id="{0C7C891B-559B-2DA3-220D-CE02B5E05557}"/>
                </a:ext>
              </a:extLst>
            </xdr:cNvPr>
            <xdr:cNvSpPr txBox="1"/>
          </xdr:nvSpPr>
          <xdr:spPr>
            <a:xfrm>
              <a:off x="6901325" y="2339758"/>
              <a:ext cx="1561185" cy="27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lumMod val="75000"/>
                      <a:lumOff val="25000"/>
                    </a:schemeClr>
                  </a:solidFill>
                  <a:latin typeface="Roboto" pitchFamily="2" charset="0"/>
                  <a:ea typeface="Roboto" pitchFamily="2" charset="0"/>
                  <a:cs typeface="Segoe UI"/>
                </a:rPr>
                <a:t>Total</a:t>
              </a:r>
              <a:r>
                <a:rPr lang="en-US" sz="1800" b="1" i="0" u="none" strike="noStrike" baseline="0">
                  <a:solidFill>
                    <a:schemeClr val="tx1">
                      <a:lumMod val="75000"/>
                      <a:lumOff val="25000"/>
                    </a:schemeClr>
                  </a:solidFill>
                  <a:latin typeface="Roboto" pitchFamily="2" charset="0"/>
                  <a:ea typeface="Roboto" pitchFamily="2" charset="0"/>
                  <a:cs typeface="Segoe UI"/>
                </a:rPr>
                <a:t> Orders</a:t>
              </a:r>
              <a:endParaRPr lang="en-US" sz="1800" b="1" i="0" u="none" strike="noStrike">
                <a:solidFill>
                  <a:schemeClr val="tx1">
                    <a:lumMod val="75000"/>
                    <a:lumOff val="25000"/>
                  </a:schemeClr>
                </a:solidFill>
                <a:latin typeface="Roboto" pitchFamily="2" charset="0"/>
                <a:ea typeface="Roboto" pitchFamily="2" charset="0"/>
                <a:cs typeface="Segoe UI"/>
              </a:endParaRPr>
            </a:p>
          </xdr:txBody>
        </xdr:sp>
        <xdr:pic>
          <xdr:nvPicPr>
            <xdr:cNvPr id="98" name="Graphic 97" descr="Shopping cart with solid fill">
              <a:extLst>
                <a:ext uri="{FF2B5EF4-FFF2-40B4-BE49-F238E27FC236}">
                  <a16:creationId xmlns:a16="http://schemas.microsoft.com/office/drawing/2014/main" id="{3A819EC9-F744-D662-FFB1-55A1570D332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04940" y="2373003"/>
              <a:ext cx="604705" cy="624238"/>
            </a:xfrm>
            <a:prstGeom prst="rect">
              <a:avLst/>
            </a:prstGeom>
          </xdr:spPr>
        </xdr:pic>
      </xdr:grpSp>
      <xdr:grpSp>
        <xdr:nvGrpSpPr>
          <xdr:cNvPr id="30" name="Group 29">
            <a:extLst>
              <a:ext uri="{FF2B5EF4-FFF2-40B4-BE49-F238E27FC236}">
                <a16:creationId xmlns:a16="http://schemas.microsoft.com/office/drawing/2014/main" id="{1B720197-7F6E-00DC-54D9-C463F05C96AB}"/>
              </a:ext>
            </a:extLst>
          </xdr:cNvPr>
          <xdr:cNvGrpSpPr/>
        </xdr:nvGrpSpPr>
        <xdr:grpSpPr>
          <a:xfrm>
            <a:off x="10035080" y="2215992"/>
            <a:ext cx="3664281" cy="750734"/>
            <a:chOff x="10035080" y="2215992"/>
            <a:chExt cx="3664281" cy="750734"/>
          </a:xfrm>
        </xdr:grpSpPr>
        <xdr:grpSp>
          <xdr:nvGrpSpPr>
            <xdr:cNvPr id="21" name="Group 20">
              <a:extLst>
                <a:ext uri="{FF2B5EF4-FFF2-40B4-BE49-F238E27FC236}">
                  <a16:creationId xmlns:a16="http://schemas.microsoft.com/office/drawing/2014/main" id="{A4CCBF02-BE77-8D57-A188-5B5C53DF3DEC}"/>
                </a:ext>
              </a:extLst>
            </xdr:cNvPr>
            <xdr:cNvGrpSpPr/>
          </xdr:nvGrpSpPr>
          <xdr:grpSpPr>
            <a:xfrm>
              <a:off x="10035080" y="2215992"/>
              <a:ext cx="3664281" cy="744261"/>
              <a:chOff x="9748942" y="2296494"/>
              <a:chExt cx="3529171" cy="744261"/>
            </a:xfrm>
          </xdr:grpSpPr>
          <xdr:sp macro="" textlink="">
            <xdr:nvSpPr>
              <xdr:cNvPr id="91" name="Rectangle: Rounded Corners 90">
                <a:extLst>
                  <a:ext uri="{FF2B5EF4-FFF2-40B4-BE49-F238E27FC236}">
                    <a16:creationId xmlns:a16="http://schemas.microsoft.com/office/drawing/2014/main" id="{B930A76E-F1C6-B3B2-079F-C5568FB3CD78}"/>
                  </a:ext>
                </a:extLst>
              </xdr:cNvPr>
              <xdr:cNvSpPr/>
            </xdr:nvSpPr>
            <xdr:spPr>
              <a:xfrm>
                <a:off x="9748942" y="2296494"/>
                <a:ext cx="3529171" cy="742296"/>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sp macro="" textlink="'Pivot Tables'!B27">
            <xdr:nvSpPr>
              <xdr:cNvPr id="95" name="TextBox 94">
                <a:extLst>
                  <a:ext uri="{FF2B5EF4-FFF2-40B4-BE49-F238E27FC236}">
                    <a16:creationId xmlns:a16="http://schemas.microsoft.com/office/drawing/2014/main" id="{B466AF38-8D5D-D4DC-4BC8-DF656EEF61CE}"/>
                  </a:ext>
                </a:extLst>
              </xdr:cNvPr>
              <xdr:cNvSpPr txBox="1"/>
            </xdr:nvSpPr>
            <xdr:spPr>
              <a:xfrm>
                <a:off x="11029493" y="2620294"/>
                <a:ext cx="968070" cy="420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926191-B54A-4954-A03D-073638179D70}" type="TxLink">
                  <a:rPr lang="en-US" sz="2400" b="1" i="0" u="none" strike="noStrike">
                    <a:solidFill>
                      <a:schemeClr val="accent1"/>
                    </a:solidFill>
                    <a:latin typeface="Roboto" pitchFamily="2" charset="0"/>
                    <a:ea typeface="Roboto" pitchFamily="2" charset="0"/>
                    <a:cs typeface="Segoe UI"/>
                  </a:rPr>
                  <a:pPr algn="ctr"/>
                  <a:t>5552</a:t>
                </a:fld>
                <a:endParaRPr lang="en-US" sz="2400" b="1">
                  <a:solidFill>
                    <a:schemeClr val="accent1"/>
                  </a:solidFill>
                  <a:latin typeface="Roboto" pitchFamily="2" charset="0"/>
                  <a:ea typeface="Roboto" pitchFamily="2" charset="0"/>
                </a:endParaRPr>
              </a:p>
            </xdr:txBody>
          </xdr:sp>
          <xdr:sp macro="" textlink="">
            <xdr:nvSpPr>
              <xdr:cNvPr id="96" name="TextBox 95">
                <a:extLst>
                  <a:ext uri="{FF2B5EF4-FFF2-40B4-BE49-F238E27FC236}">
                    <a16:creationId xmlns:a16="http://schemas.microsoft.com/office/drawing/2014/main" id="{58496CCE-D015-FE41-C65E-CB3276748B88}"/>
                  </a:ext>
                </a:extLst>
              </xdr:cNvPr>
              <xdr:cNvSpPr txBox="1"/>
            </xdr:nvSpPr>
            <xdr:spPr>
              <a:xfrm>
                <a:off x="10642617" y="2327999"/>
                <a:ext cx="1741822" cy="32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lumMod val="75000"/>
                        <a:lumOff val="25000"/>
                      </a:schemeClr>
                    </a:solidFill>
                    <a:latin typeface="Roboto" pitchFamily="2" charset="0"/>
                    <a:ea typeface="Roboto" pitchFamily="2" charset="0"/>
                    <a:cs typeface="Segoe UI"/>
                  </a:rPr>
                  <a:t>Quantity</a:t>
                </a:r>
                <a:r>
                  <a:rPr lang="en-US" sz="1800" b="1" i="0" u="none" strike="noStrike" baseline="0">
                    <a:solidFill>
                      <a:schemeClr val="tx1">
                        <a:lumMod val="75000"/>
                        <a:lumOff val="25000"/>
                      </a:schemeClr>
                    </a:solidFill>
                    <a:latin typeface="Roboto" pitchFamily="2" charset="0"/>
                    <a:ea typeface="Roboto" pitchFamily="2" charset="0"/>
                    <a:cs typeface="Segoe UI"/>
                  </a:rPr>
                  <a:t> Sold</a:t>
                </a:r>
                <a:endParaRPr lang="en-US" sz="1800" b="1" i="0" u="none" strike="noStrike">
                  <a:solidFill>
                    <a:schemeClr val="tx1">
                      <a:lumMod val="75000"/>
                      <a:lumOff val="25000"/>
                    </a:schemeClr>
                  </a:solidFill>
                  <a:latin typeface="Roboto" pitchFamily="2" charset="0"/>
                  <a:ea typeface="Roboto" pitchFamily="2" charset="0"/>
                  <a:cs typeface="Segoe UI"/>
                </a:endParaRPr>
              </a:p>
            </xdr:txBody>
          </xdr:sp>
        </xdr:grpSp>
        <xdr:pic>
          <xdr:nvPicPr>
            <xdr:cNvPr id="28" name="Graphic 27" descr="Box with solid fill">
              <a:extLst>
                <a:ext uri="{FF2B5EF4-FFF2-40B4-BE49-F238E27FC236}">
                  <a16:creationId xmlns:a16="http://schemas.microsoft.com/office/drawing/2014/main" id="{6B372B6D-800B-4A69-9C84-DA8F5D4E077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10183518" y="2246020"/>
              <a:ext cx="688897" cy="720706"/>
            </a:xfrm>
            <a:prstGeom prst="rect">
              <a:avLst/>
            </a:prstGeom>
          </xdr:spPr>
        </xdr:pic>
      </xdr:grpSp>
      <xdr:grpSp>
        <xdr:nvGrpSpPr>
          <xdr:cNvPr id="32" name="Group 31">
            <a:extLst>
              <a:ext uri="{FF2B5EF4-FFF2-40B4-BE49-F238E27FC236}">
                <a16:creationId xmlns:a16="http://schemas.microsoft.com/office/drawing/2014/main" id="{63B30E1F-D088-8F66-5F66-CF586019D7F4}"/>
              </a:ext>
            </a:extLst>
          </xdr:cNvPr>
          <xdr:cNvGrpSpPr/>
        </xdr:nvGrpSpPr>
        <xdr:grpSpPr>
          <a:xfrm>
            <a:off x="14021586" y="2215992"/>
            <a:ext cx="3665889" cy="742296"/>
            <a:chOff x="14021586" y="2215992"/>
            <a:chExt cx="3665889" cy="742296"/>
          </a:xfrm>
        </xdr:grpSpPr>
        <xdr:sp macro="" textlink="">
          <xdr:nvSpPr>
            <xdr:cNvPr id="70" name="Rectangle: Rounded Corners 69">
              <a:extLst>
                <a:ext uri="{FF2B5EF4-FFF2-40B4-BE49-F238E27FC236}">
                  <a16:creationId xmlns:a16="http://schemas.microsoft.com/office/drawing/2014/main" id="{943900BD-3609-4563-FE92-E44377AB6C15}"/>
                </a:ext>
              </a:extLst>
            </xdr:cNvPr>
            <xdr:cNvSpPr/>
          </xdr:nvSpPr>
          <xdr:spPr>
            <a:xfrm>
              <a:off x="14021586" y="2215992"/>
              <a:ext cx="3665889" cy="742296"/>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sp macro="" textlink="'Pivot Tables'!B31">
          <xdr:nvSpPr>
            <xdr:cNvPr id="74" name="TextBox 73">
              <a:extLst>
                <a:ext uri="{FF2B5EF4-FFF2-40B4-BE49-F238E27FC236}">
                  <a16:creationId xmlns:a16="http://schemas.microsoft.com/office/drawing/2014/main" id="{183DFF8D-1153-E493-1F72-BE77095200AB}"/>
                </a:ext>
              </a:extLst>
            </xdr:cNvPr>
            <xdr:cNvSpPr txBox="1"/>
          </xdr:nvSpPr>
          <xdr:spPr>
            <a:xfrm>
              <a:off x="15020266" y="2539792"/>
              <a:ext cx="1665090" cy="384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04EEE3-B30C-4C1F-93ED-F52A97FC725A}" type="TxLink">
                <a:rPr lang="en-US" sz="2400" b="1" i="0" u="none" strike="noStrike">
                  <a:solidFill>
                    <a:schemeClr val="accent1"/>
                  </a:solidFill>
                  <a:latin typeface="Roboto" pitchFamily="2" charset="0"/>
                  <a:ea typeface="Roboto" pitchFamily="2" charset="0"/>
                  <a:cs typeface="Segoe UI"/>
                </a:rPr>
                <a:pPr algn="ctr"/>
                <a:t>$1.23K</a:t>
              </a:fld>
              <a:endParaRPr lang="en-US" sz="2400" b="1">
                <a:solidFill>
                  <a:schemeClr val="accent1"/>
                </a:solidFill>
                <a:latin typeface="Roboto" pitchFamily="2" charset="0"/>
                <a:ea typeface="Roboto" pitchFamily="2" charset="0"/>
              </a:endParaRPr>
            </a:p>
          </xdr:txBody>
        </xdr:sp>
        <xdr:sp macro="" textlink="">
          <xdr:nvSpPr>
            <xdr:cNvPr id="75" name="TextBox 74">
              <a:extLst>
                <a:ext uri="{FF2B5EF4-FFF2-40B4-BE49-F238E27FC236}">
                  <a16:creationId xmlns:a16="http://schemas.microsoft.com/office/drawing/2014/main" id="{1C0D61C7-E013-A4D7-6E99-B7C2F32B0B97}"/>
                </a:ext>
              </a:extLst>
            </xdr:cNvPr>
            <xdr:cNvSpPr txBox="1"/>
          </xdr:nvSpPr>
          <xdr:spPr>
            <a:xfrm>
              <a:off x="14587557" y="2220665"/>
              <a:ext cx="2530508" cy="305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lumMod val="75000"/>
                      <a:lumOff val="25000"/>
                    </a:schemeClr>
                  </a:solidFill>
                  <a:latin typeface="Segoe UI"/>
                  <a:cs typeface="Segoe UI"/>
                </a:rPr>
                <a:t>Average Order Value</a:t>
              </a:r>
            </a:p>
          </xdr:txBody>
        </xdr:sp>
        <xdr:pic>
          <xdr:nvPicPr>
            <xdr:cNvPr id="31" name="Graphic 30" descr="Label with solid fill">
              <a:extLst>
                <a:ext uri="{FF2B5EF4-FFF2-40B4-BE49-F238E27FC236}">
                  <a16:creationId xmlns:a16="http://schemas.microsoft.com/office/drawing/2014/main" id="{F2F17406-C8FF-46AE-925B-0B5242E6478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14040555" y="2234260"/>
              <a:ext cx="720000" cy="720000"/>
            </a:xfrm>
            <a:prstGeom prst="rect">
              <a:avLst/>
            </a:prstGeom>
          </xdr:spPr>
        </xdr:pic>
      </xdr:grpSp>
    </xdr:grpSp>
    <xdr:clientData/>
  </xdr:twoCellAnchor>
  <xdr:twoCellAnchor editAs="oneCell">
    <xdr:from>
      <xdr:col>3</xdr:col>
      <xdr:colOff>522553</xdr:colOff>
      <xdr:row>0</xdr:row>
      <xdr:rowOff>83404</xdr:rowOff>
    </xdr:from>
    <xdr:to>
      <xdr:col>4</xdr:col>
      <xdr:colOff>337344</xdr:colOff>
      <xdr:row>2</xdr:row>
      <xdr:rowOff>152136</xdr:rowOff>
    </xdr:to>
    <xdr:pic>
      <xdr:nvPicPr>
        <xdr:cNvPr id="23" name="Picture 22">
          <a:extLst>
            <a:ext uri="{FF2B5EF4-FFF2-40B4-BE49-F238E27FC236}">
              <a16:creationId xmlns:a16="http://schemas.microsoft.com/office/drawing/2014/main" id="{9FEE311B-5817-1DA5-127C-F4D1D1990D7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506928" y="83404"/>
          <a:ext cx="476249" cy="49206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nrewaju Tajudeen" refreshedDate="46263.732064236108" createdVersion="8" refreshedVersion="8" minRefreshableVersion="3" recordCount="2000" xr:uid="{6B17E90A-2A3A-49D3-A5E6-53565C1053D5}">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510283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FDD86D-2445-4B7B-A991-70D8EF8B1CBA}" name="PivotTable8"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18:H2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name="PT6_Total_Revenue_by_Region"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formats count="11">
    <format dxfId="10">
      <pivotArea type="all" dataOnly="0" outline="0" fieldPosition="0"/>
    </format>
    <format dxfId="9">
      <pivotArea outline="0" collapsedLevelsAreSubtotals="1"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outline="0" axis="axisValues" fieldPosition="0"/>
    </format>
    <format dxfId="4">
      <pivotArea grandRow="1" outline="0" collapsedLevelsAreSubtotals="1" fieldPosition="0"/>
    </format>
    <format dxfId="3">
      <pivotArea field="2" type="button" dataOnly="0" labelOnly="1" outline="0" axis="axisRow" fieldPosition="0"/>
    </format>
    <format dxfId="2">
      <pivotArea dataOnly="0" labelOnly="1" outline="0" axis="axisValues" fieldPosition="0"/>
    </format>
    <format dxfId="1">
      <pivotArea collapsedLevelsAreSubtotals="1" fieldPosition="0">
        <references count="1">
          <reference field="2" count="0"/>
        </references>
      </pivotArea>
    </format>
    <format dxfId="0">
      <pivotArea dataOnly="0" labelOnly="1" fieldPosition="0">
        <references count="1">
          <reference field="2" count="0"/>
        </references>
      </pivotArea>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D848E-3CFF-4939-BABC-8282AEA38B30}"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8:B19"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PT1_Total_Revenue_" fld="11" baseField="0" baseItem="0" numFmtId="164"/>
  </dataFields>
  <formats count="10">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86C40-13F9-4486-973B-2D94938AAD32}" name="PivotTable1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45:H51"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name="PT9_Total_Revenue_by_Product" axis="axisRow" showAll="0" measureFilter="1" sortType="descending">
      <items count="29">
        <item x="6"/>
        <item x="3"/>
        <item x="12"/>
        <item x="14"/>
        <item x="25"/>
        <item x="13"/>
        <item x="16"/>
        <item x="26"/>
        <item x="17"/>
        <item x="18"/>
        <item x="23"/>
        <item x="27"/>
        <item x="0"/>
        <item x="4"/>
        <item x="1"/>
        <item x="10"/>
        <item x="15"/>
        <item x="20"/>
        <item x="22"/>
        <item x="7"/>
        <item x="8"/>
        <item x="5"/>
        <item x="2"/>
        <item x="9"/>
        <item x="24"/>
        <item x="21"/>
        <item x="11"/>
        <item x="19"/>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19"/>
    </i>
    <i>
      <x v="17"/>
    </i>
    <i>
      <x v="16"/>
    </i>
    <i>
      <x v="25"/>
    </i>
    <i>
      <x v="5"/>
    </i>
    <i t="grand">
      <x/>
    </i>
  </rowItems>
  <colItems count="1">
    <i/>
  </colItems>
  <dataFields count="1">
    <dataField name="Sum of Revenue" fld="11" baseField="0" baseItem="0" numFmtId="164"/>
  </dataFields>
  <formats count="14">
    <format dxfId="34">
      <pivotArea type="all" dataOnly="0" outline="0" fieldPosition="0"/>
    </format>
    <format dxfId="33">
      <pivotArea outline="0" collapsedLevelsAreSubtotals="1" fieldPosition="0"/>
    </format>
    <format dxfId="32">
      <pivotArea field="6" type="button" dataOnly="0" labelOnly="1" outline="0" axis="axisRow" fieldPosition="0"/>
    </format>
    <format dxfId="31">
      <pivotArea dataOnly="0" labelOnly="1" fieldPosition="0">
        <references count="1">
          <reference field="6" count="5">
            <x v="5"/>
            <x v="16"/>
            <x v="17"/>
            <x v="19"/>
            <x v="25"/>
          </reference>
        </references>
      </pivotArea>
    </format>
    <format dxfId="30">
      <pivotArea dataOnly="0" labelOnly="1" grandRow="1" outline="0"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6" type="button" dataOnly="0" labelOnly="1" outline="0" axis="axisRow" fieldPosition="0"/>
    </format>
    <format dxfId="25">
      <pivotArea dataOnly="0" labelOnly="1" fieldPosition="0">
        <references count="1">
          <reference field="6" count="5">
            <x v="5"/>
            <x v="16"/>
            <x v="17"/>
            <x v="19"/>
            <x v="25"/>
          </reference>
        </references>
      </pivotArea>
    </format>
    <format dxfId="24">
      <pivotArea dataOnly="0" labelOnly="1" grandRow="1" outline="0" fieldPosition="0"/>
    </format>
    <format dxfId="23">
      <pivotArea dataOnly="0" labelOnly="1" outline="0" axis="axisValues" fieldPosition="0"/>
    </format>
    <format dxfId="22">
      <pivotArea grandRow="1" outline="0" collapsedLevelsAreSubtotals="1" fieldPosition="0"/>
    </format>
    <format dxfId="21">
      <pivotArea dataOnly="0" labelOnly="1" grandRow="1" outline="0"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BACBB1-F564-40E8-9139-A2A2CD87F7FB}" name="PivotTable10"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37:H4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name="PT8_Total_Revenue_by_Sales Channel"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formats count="13">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fieldPosition="0">
        <references count="1">
          <reference field="3"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3" type="button" dataOnly="0" labelOnly="1" outline="0" axis="axisRow" fieldPosition="0"/>
    </format>
    <format dxfId="38">
      <pivotArea dataOnly="0" labelOnly="1" fieldPosition="0">
        <references count="1">
          <reference field="3" count="0"/>
        </references>
      </pivotArea>
    </format>
    <format dxfId="37">
      <pivotArea dataOnly="0" labelOnly="1" outline="0" axis="axisValues" fieldPosition="0"/>
    </format>
    <format dxfId="36">
      <pivotArea grandRow="1" outline="0" collapsedLevelsAreSubtotals="1" fieldPosition="0"/>
    </format>
    <format dxfId="35">
      <pivotArea dataOnly="0" labelOnly="1" grandRow="1" outline="0" fieldPosition="0"/>
    </format>
  </format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942BB1-1D70-487D-9F11-6873BD6BFC9D}" name="PivotTable9"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27:H3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name="PT7_Total_Revenue_by_Product Category"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formats count="12">
    <format dxfId="59">
      <pivotArea type="all" dataOnly="0" outline="0" fieldPosition="0"/>
    </format>
    <format dxfId="58">
      <pivotArea outline="0" collapsedLevelsAreSubtotals="1" fieldPosition="0"/>
    </format>
    <format dxfId="57">
      <pivotArea field="5" type="button" dataOnly="0" labelOnly="1" outline="0" axis="axisRow" fieldPosition="0"/>
    </format>
    <format dxfId="56">
      <pivotArea dataOnly="0" labelOnly="1" fieldPosition="0">
        <references count="1">
          <reference field="5" count="0"/>
        </references>
      </pivotArea>
    </format>
    <format dxfId="55">
      <pivotArea dataOnly="0" labelOnly="1" grandRow="1" outline="0" fieldPosition="0"/>
    </format>
    <format dxfId="54">
      <pivotArea dataOnly="0" labelOnly="1" outline="0" axis="axisValues" fieldPosition="0"/>
    </format>
    <format dxfId="53">
      <pivotArea field="5" type="button" dataOnly="0" labelOnly="1" outline="0" axis="axisRow" fieldPosition="0"/>
    </format>
    <format dxfId="52">
      <pivotArea dataOnly="0" labelOnly="1" outline="0" axis="axisValues" fieldPosition="0"/>
    </format>
    <format dxfId="51">
      <pivotArea grandRow="1" outline="0" collapsedLevelsAreSubtotals="1" fieldPosition="0"/>
    </format>
    <format dxfId="50">
      <pivotArea dataOnly="0" labelOnly="1" grandRow="1" outline="0" fieldPosition="0"/>
    </format>
    <format dxfId="49">
      <pivotArea collapsedLevelsAreSubtotals="1" fieldPosition="0">
        <references count="1">
          <reference field="5" count="0"/>
        </references>
      </pivotArea>
    </format>
    <format dxfId="48">
      <pivotArea dataOnly="0" labelOnly="1" fieldPosition="0">
        <references count="1">
          <reference field="5" count="0"/>
        </references>
      </pivotArea>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2C7A3A-E6A8-4C3B-85A9-9ACAF3D46490}" name="PivotTable6"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0:B3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PT4_Average_of_Revenue" fld="11" subtotal="average" baseField="0" baseItem="0" numFmtId="164"/>
  </dataFields>
  <formats count="6">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dataOnly="0" labelOnly="1" outline="0" axis="axisValues" fieldPosition="0"/>
    </format>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49453A-25A5-4269-BAF0-573AB96DFBD0}" name="PivotTable7"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34:C4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PT5_Total_Revenue_by_Month"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formats count="13">
    <format dxfId="78">
      <pivotArea type="all" dataOnly="0" outline="0" fieldPosition="0"/>
    </format>
    <format dxfId="77">
      <pivotArea outline="0" collapsedLevelsAreSubtotals="1" fieldPosition="0"/>
    </format>
    <format dxfId="76">
      <pivotArea field="13" type="button" dataOnly="0" labelOnly="1" outline="0" axis="axisRow" fieldPosition="0"/>
    </format>
    <format dxfId="75">
      <pivotArea dataOnly="0" labelOnly="1" fieldPosition="0">
        <references count="1">
          <reference field="13" count="12">
            <x v="1"/>
            <x v="2"/>
            <x v="3"/>
            <x v="4"/>
            <x v="5"/>
            <x v="6"/>
            <x v="7"/>
            <x v="8"/>
            <x v="9"/>
            <x v="10"/>
            <x v="11"/>
            <x v="12"/>
          </reference>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13" type="button" dataOnly="0" labelOnly="1" outline="0" axis="axisRow" fieldPosition="0"/>
    </format>
    <format dxfId="69">
      <pivotArea dataOnly="0" labelOnly="1" fieldPosition="0">
        <references count="1">
          <reference field="13" count="12">
            <x v="1"/>
            <x v="2"/>
            <x v="3"/>
            <x v="4"/>
            <x v="5"/>
            <x v="6"/>
            <x v="7"/>
            <x v="8"/>
            <x v="9"/>
            <x v="10"/>
            <x v="11"/>
            <x v="12"/>
          </reference>
        </references>
      </pivotArea>
    </format>
    <format dxfId="68">
      <pivotArea dataOnly="0" labelOnly="1" outline="0" axis="axisValues" fieldPosition="0"/>
    </format>
    <format dxfId="67">
      <pivotArea grandRow="1" outline="0" collapsedLevelsAreSubtotals="1" fieldPosition="0"/>
    </format>
    <format dxfId="66">
      <pivotArea dataOnly="0" labelOnly="1" grandRow="1" outline="0"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0B20F5-4D05-40C5-8F4A-4D0D92B40CCE}" name="PivotTable4"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2:B23"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PT2_Count_Orders" fld="0" subtotal="count" baseField="0" baseItem="0"/>
  </dataFields>
  <formats count="6">
    <format dxfId="84">
      <pivotArea type="all" dataOnly="0" outline="0" fieldPosition="0"/>
    </format>
    <format dxfId="83">
      <pivotArea outline="0" collapsedLevelsAreSubtotals="1" fieldPosition="0"/>
    </format>
    <format dxfId="82">
      <pivotArea dataOnly="0" labelOnly="1" outline="0" axis="axisValues" fieldPosition="0"/>
    </format>
    <format dxfId="81">
      <pivotArea type="all" dataOnly="0" outline="0" fieldPosition="0"/>
    </format>
    <format dxfId="80">
      <pivotArea dataOnly="0" labelOnly="1" outline="0" axis="axisValues" fieldPosition="0"/>
    </format>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788F03-7BD0-40D3-82D4-92BD8FB6EA94}" name="PivotTable5"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6:B27"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PT3_Total_Quantity" fld="8" baseField="0" baseItem="0"/>
  </dataFields>
  <formats count="6">
    <format dxfId="90">
      <pivotArea type="all" dataOnly="0" outline="0" fieldPosition="0"/>
    </format>
    <format dxfId="89">
      <pivotArea outline="0" collapsedLevelsAreSubtotals="1" fieldPosition="0"/>
    </format>
    <format dxfId="88">
      <pivotArea dataOnly="0" labelOnly="1" outline="0" axis="axisValues" fieldPosition="0"/>
    </format>
    <format dxfId="87">
      <pivotArea type="all" dataOnly="0" outline="0" fieldPosition="0"/>
    </format>
    <format dxfId="86">
      <pivotArea dataOnly="0" labelOnly="1" outline="0" axis="axisValues" fieldPosition="0"/>
    </format>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04CFC7-752A-4A11-AA8D-402D8D5A9780}" sourceName="Region">
  <pivotTables>
    <pivotTable tabId="7" name="PivotTable2"/>
    <pivotTable tabId="7" name="PivotTable10"/>
    <pivotTable tabId="7" name="PivotTable11"/>
    <pivotTable tabId="7" name="PivotTable4"/>
    <pivotTable tabId="7" name="PivotTable5"/>
    <pivotTable tabId="7" name="PivotTable6"/>
    <pivotTable tabId="7" name="PivotTable7"/>
    <pivotTable tabId="7" name="PivotTable8"/>
    <pivotTable tabId="7" name="PivotTable9"/>
  </pivotTables>
  <data>
    <tabular pivotCacheId="1510283066">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30F3345-F645-491C-816B-1F33D2860498}" sourceName="Sales Channel">
  <pivotTables>
    <pivotTable tabId="7" name="PivotTable2"/>
    <pivotTable tabId="7" name="PivotTable10"/>
    <pivotTable tabId="7" name="PivotTable11"/>
    <pivotTable tabId="7" name="PivotTable4"/>
    <pivotTable tabId="7" name="PivotTable5"/>
    <pivotTable tabId="7" name="PivotTable6"/>
    <pivotTable tabId="7" name="PivotTable7"/>
    <pivotTable tabId="7" name="PivotTable8"/>
    <pivotTable tabId="7" name="PivotTable9"/>
  </pivotTables>
  <data>
    <tabular pivotCacheId="151028306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1B0C9E6-871E-4C5C-8E7F-8CD5A9A6CDF5}" sourceName="Product Category">
  <pivotTables>
    <pivotTable tabId="7" name="PivotTable2"/>
    <pivotTable tabId="7" name="PivotTable10"/>
    <pivotTable tabId="7" name="PivotTable11"/>
    <pivotTable tabId="7" name="PivotTable4"/>
    <pivotTable tabId="7" name="PivotTable5"/>
    <pivotTable tabId="7" name="PivotTable6"/>
    <pivotTable tabId="7" name="PivotTable7"/>
    <pivotTable tabId="7" name="PivotTable8"/>
    <pivotTable tabId="7" name="PivotTable9"/>
  </pivotTables>
  <data>
    <tabular pivotCacheId="1510283066">
      <items count="6">
        <i x="0" s="1"/>
        <i x="3" s="1"/>
        <i x="4" s="1"/>
        <i x="2"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9674202-3B55-4476-805E-72068DC2F817}" sourceName="Customer Type">
  <pivotTables>
    <pivotTable tabId="7" name="PivotTable4"/>
    <pivotTable tabId="7" name="PivotTable10"/>
    <pivotTable tabId="7" name="PivotTable11"/>
    <pivotTable tabId="7" name="PivotTable2"/>
    <pivotTable tabId="7" name="PivotTable5"/>
    <pivotTable tabId="7" name="PivotTable6"/>
    <pivotTable tabId="7" name="PivotTable7"/>
    <pivotTable tabId="7" name="PivotTable8"/>
    <pivotTable tabId="7" name="PivotTable9"/>
  </pivotTables>
  <data>
    <tabular pivotCacheId="15102830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9E98EF-CDC0-4159-9B17-A8551A172A52}" cache="Slicer_Region" caption="Region" lockedPosition="1" rowHeight="273050"/>
  <slicer name="Sales Channel" xr10:uid="{01874C44-86DF-45B2-9470-5CA808B9C03B}" cache="Slicer_Sales_Channel" caption="Sales Channel" lockedPosition="1" rowHeight="273050"/>
  <slicer name="Product Category" xr10:uid="{926B14BD-AC9A-446B-ABE6-546C41043869}" cache="Slicer_Product_Category" caption="Product Category" lockedPosition="1" rowHeight="273050"/>
  <slicer name="Customer Type" xr10:uid="{90577002-1F5B-450E-ADA6-4B0F92EA9C38}" cache="Slicer_Customer_Type" caption="Customer Type"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autoFilter ref="A1:L2001" xr:uid="{F5B0BF28-BEEB-4DD7-9D20-A28410D39CC2}"/>
  <tableColumns count="12">
    <tableColumn id="1" xr3:uid="{EB25C69A-A2D3-4200-91EA-8E3165AF9E00}" name="Order ID" totalsRowLabel="Total"/>
    <tableColumn id="2" xr3:uid="{179518F6-FD6A-41B7-AE5E-75D1AB1D0993}" name="Date" dataDxfId="96"/>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95"/>
    <tableColumn id="11" xr3:uid="{7EAF0795-BAD3-458D-91BB-ADCBCEF06DFC}" name="Discount" dataDxfId="94" totalsRowDxfId="93" dataCellStyle="Percent"/>
    <tableColumn id="12" xr3:uid="{280722F0-44BB-4EF8-B22E-A4CCC46338D6}" name="Revenue" totalsRowFunction="sum" dataDxfId="92" totalsRowDxfId="91"/>
  </tableColumns>
  <tableStyleInfo name="TableStyleLight18" showFirstColumn="0" showLastColumn="0" showRowStripes="1" showColumnStripes="1"/>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414B786-C5FC-43A5-B0DE-A92CB974E184}" sourceName="Date">
  <pivotTables>
    <pivotTable tabId="7" name="PivotTable2"/>
    <pivotTable tabId="7" name="PivotTable10"/>
    <pivotTable tabId="7" name="PivotTable11"/>
    <pivotTable tabId="7" name="PivotTable4"/>
    <pivotTable tabId="7" name="PivotTable5"/>
    <pivotTable tabId="7" name="PivotTable6"/>
    <pivotTable tabId="7" name="PivotTable7"/>
    <pivotTable tabId="7" name="PivotTable8"/>
    <pivotTable tabId="7" name="PivotTable9"/>
  </pivotTables>
  <state minimalRefreshVersion="6" lastRefreshVersion="6" pivotCacheId="1510283066"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525513F-5793-432E-812C-B2C92D280BEE}" cache="NativeTimeline_Date" caption="Year" level="0" selectionLevel="0" scrollPosition="2026-01-01T00:00:00"/>
  <timeline name="Date 1" xr10:uid="{FAB3FFFA-4338-446A-A75C-2900F27D79AD}" cache="NativeTimeline_Date" caption="Date" level="3" selectionLevel="3" scrollPosition="2026-03-08T00:00:00"/>
  <timeline name="Date 2" xr10:uid="{A26228FE-072C-4E90-BFB6-28756F874EC7}" cache="NativeTimeline_Date" caption="Quarters" level="1" selectionLevel="1" scrollPosition="2026-01-01T00:00:00"/>
  <timeline name="Date 3" xr10:uid="{F4D7B0C5-91F8-481B-8573-E7B6B1CB7B8C}" cache="NativeTimeline_Date" caption="Months" level="2" selectionLevel="2" scrollPosition="2026-01-26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665B-3D69-4E2E-980C-B29877975EBA}">
  <dimension ref="B1:J13"/>
  <sheetViews>
    <sheetView showGridLines="0" showRowColHeaders="0" zoomScale="45" zoomScaleNormal="45" workbookViewId="0">
      <selection activeCell="F5" sqref="F5"/>
    </sheetView>
  </sheetViews>
  <sheetFormatPr defaultRowHeight="16.5"/>
  <cols>
    <col min="1" max="1" width="2.5" customWidth="1"/>
    <col min="2" max="2" width="22.75" customWidth="1"/>
    <col min="3" max="3" width="29.58203125" customWidth="1"/>
    <col min="4" max="4" width="3.75" customWidth="1"/>
    <col min="5" max="5" width="39.83203125" customWidth="1"/>
    <col min="6" max="6" width="34.83203125" customWidth="1"/>
    <col min="7" max="7" width="3.83203125" customWidth="1"/>
    <col min="8" max="8" width="38" customWidth="1"/>
    <col min="9" max="9" width="27.33203125" customWidth="1"/>
    <col min="10" max="10" width="26.08203125" customWidth="1"/>
  </cols>
  <sheetData>
    <row r="1" spans="2:10" ht="29">
      <c r="B1" s="8" t="s">
        <v>2121</v>
      </c>
      <c r="E1" s="8" t="s">
        <v>2122</v>
      </c>
      <c r="H1" s="4" t="s">
        <v>2123</v>
      </c>
    </row>
    <row r="2" spans="2:10" ht="25">
      <c r="B2" s="6" t="s">
        <v>2072</v>
      </c>
      <c r="C2" s="6" t="s">
        <v>2073</v>
      </c>
      <c r="E2" s="6" t="s">
        <v>2085</v>
      </c>
      <c r="F2" s="6" t="s">
        <v>2086</v>
      </c>
      <c r="H2" s="5" t="s">
        <v>2099</v>
      </c>
      <c r="I2" s="5" t="s">
        <v>2100</v>
      </c>
      <c r="J2" s="5" t="s">
        <v>2101</v>
      </c>
    </row>
    <row r="3" spans="2:10" ht="50">
      <c r="B3" s="7" t="s">
        <v>0</v>
      </c>
      <c r="C3" s="7" t="s">
        <v>2074</v>
      </c>
      <c r="E3" s="7" t="s">
        <v>2087</v>
      </c>
      <c r="F3" s="7" t="s">
        <v>2088</v>
      </c>
      <c r="H3" s="9" t="s">
        <v>2102</v>
      </c>
      <c r="I3" s="9" t="s">
        <v>2102</v>
      </c>
      <c r="J3" s="9" t="s">
        <v>11</v>
      </c>
    </row>
    <row r="4" spans="2:10" ht="50">
      <c r="B4" s="7" t="s">
        <v>1</v>
      </c>
      <c r="C4" s="7" t="s">
        <v>2075</v>
      </c>
      <c r="E4" s="7" t="s">
        <v>2089</v>
      </c>
      <c r="F4" s="7" t="s">
        <v>2090</v>
      </c>
      <c r="H4" s="9" t="s">
        <v>2103</v>
      </c>
      <c r="I4" s="9" t="s">
        <v>2103</v>
      </c>
      <c r="J4" s="9" t="s">
        <v>0</v>
      </c>
    </row>
    <row r="5" spans="2:10" ht="50">
      <c r="B5" s="7" t="s">
        <v>2</v>
      </c>
      <c r="C5" s="7" t="s">
        <v>2076</v>
      </c>
      <c r="E5" s="7" t="s">
        <v>2091</v>
      </c>
      <c r="F5" s="7" t="s">
        <v>2092</v>
      </c>
      <c r="H5" s="9" t="s">
        <v>2104</v>
      </c>
      <c r="I5" s="9" t="s">
        <v>2105</v>
      </c>
      <c r="J5" s="9" t="s">
        <v>8</v>
      </c>
    </row>
    <row r="6" spans="2:10" ht="50">
      <c r="B6" s="7" t="s">
        <v>3</v>
      </c>
      <c r="C6" s="7" t="s">
        <v>2077</v>
      </c>
      <c r="E6" s="7" t="s">
        <v>2093</v>
      </c>
      <c r="F6" s="7" t="s">
        <v>2094</v>
      </c>
      <c r="H6" s="9" t="s">
        <v>2106</v>
      </c>
      <c r="I6" s="9" t="s">
        <v>2106</v>
      </c>
      <c r="J6" s="9" t="s">
        <v>11</v>
      </c>
    </row>
    <row r="7" spans="2:10" ht="50">
      <c r="B7" s="7" t="s">
        <v>4</v>
      </c>
      <c r="C7" s="7" t="s">
        <v>2078</v>
      </c>
      <c r="E7" s="7" t="s">
        <v>2095</v>
      </c>
      <c r="F7" s="7" t="s">
        <v>2096</v>
      </c>
      <c r="H7" s="9" t="s">
        <v>2107</v>
      </c>
      <c r="I7" s="9" t="s">
        <v>2108</v>
      </c>
      <c r="J7" s="9" t="s">
        <v>2109</v>
      </c>
    </row>
    <row r="8" spans="2:10" ht="50">
      <c r="B8" s="7" t="s">
        <v>5</v>
      </c>
      <c r="C8" s="7" t="s">
        <v>2079</v>
      </c>
      <c r="E8" s="7" t="s">
        <v>2097</v>
      </c>
      <c r="F8" s="7" t="s">
        <v>2098</v>
      </c>
      <c r="H8" s="9" t="s">
        <v>2110</v>
      </c>
      <c r="I8" s="9" t="s">
        <v>2111</v>
      </c>
      <c r="J8" s="9" t="s">
        <v>2112</v>
      </c>
    </row>
    <row r="9" spans="2:10" ht="50">
      <c r="B9" s="7" t="s">
        <v>6</v>
      </c>
      <c r="C9" s="7" t="s">
        <v>2080</v>
      </c>
      <c r="H9" s="9" t="s">
        <v>2113</v>
      </c>
      <c r="I9" s="9" t="s">
        <v>2114</v>
      </c>
      <c r="J9" s="9" t="s">
        <v>2115</v>
      </c>
    </row>
    <row r="10" spans="2:10" ht="50">
      <c r="B10" s="7" t="s">
        <v>8</v>
      </c>
      <c r="C10" s="7" t="s">
        <v>2081</v>
      </c>
      <c r="H10" s="9" t="s">
        <v>2116</v>
      </c>
      <c r="I10" s="9" t="s">
        <v>2117</v>
      </c>
      <c r="J10" s="9" t="s">
        <v>2118</v>
      </c>
    </row>
    <row r="11" spans="2:10" ht="50">
      <c r="B11" s="7" t="s">
        <v>9</v>
      </c>
      <c r="C11" s="7" t="s">
        <v>2082</v>
      </c>
      <c r="H11" s="9" t="s">
        <v>2119</v>
      </c>
      <c r="I11" s="9" t="s">
        <v>2124</v>
      </c>
      <c r="J11" s="9" t="s">
        <v>2120</v>
      </c>
    </row>
    <row r="12" spans="2:10" ht="25">
      <c r="B12" s="7" t="s">
        <v>10</v>
      </c>
      <c r="C12" s="7" t="s">
        <v>2083</v>
      </c>
    </row>
    <row r="13" spans="2:10" ht="25">
      <c r="B13" s="7" t="s">
        <v>11</v>
      </c>
      <c r="C13" s="7" t="s">
        <v>2084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CC3F-2699-4B23-BBE5-0E5E555E5E4B}">
  <sheetPr>
    <pageSetUpPr fitToPage="1"/>
  </sheetPr>
  <dimension ref="A1:AB18"/>
  <sheetViews>
    <sheetView showGridLines="0" zoomScale="40" zoomScaleNormal="40" workbookViewId="0">
      <selection activeCell="AD30" sqref="AD30"/>
    </sheetView>
  </sheetViews>
  <sheetFormatPr defaultRowHeight="16.5"/>
  <cols>
    <col min="24" max="24" width="16.25" bestFit="1" customWidth="1"/>
  </cols>
  <sheetData>
    <row r="1" spans="1:26">
      <c r="A1" s="12"/>
      <c r="B1" s="12"/>
      <c r="C1" s="12"/>
      <c r="D1" s="12"/>
      <c r="E1" s="39" t="s">
        <v>2145</v>
      </c>
      <c r="F1" s="40"/>
      <c r="G1" s="40"/>
      <c r="H1" s="40"/>
      <c r="I1" s="40"/>
      <c r="J1" s="40"/>
      <c r="K1" s="40"/>
      <c r="L1" s="40"/>
      <c r="M1" s="40"/>
      <c r="N1" s="40"/>
      <c r="O1" s="40"/>
      <c r="P1" s="40"/>
      <c r="Q1" s="40"/>
      <c r="R1" s="40"/>
      <c r="S1" s="40"/>
      <c r="T1" s="40"/>
      <c r="U1" s="40"/>
      <c r="V1" s="40"/>
      <c r="W1" s="12"/>
      <c r="X1" s="14" t="s">
        <v>2144</v>
      </c>
      <c r="Y1" s="12"/>
      <c r="Z1" s="12"/>
    </row>
    <row r="2" spans="1:26">
      <c r="A2" s="12"/>
      <c r="B2" s="12"/>
      <c r="C2" s="12"/>
      <c r="D2" s="12"/>
      <c r="E2" s="40"/>
      <c r="F2" s="40"/>
      <c r="G2" s="40"/>
      <c r="H2" s="40"/>
      <c r="I2" s="40"/>
      <c r="J2" s="40"/>
      <c r="K2" s="40"/>
      <c r="L2" s="40"/>
      <c r="M2" s="40"/>
      <c r="N2" s="40"/>
      <c r="O2" s="40"/>
      <c r="P2" s="40"/>
      <c r="Q2" s="40"/>
      <c r="R2" s="40"/>
      <c r="S2" s="40"/>
      <c r="T2" s="40"/>
      <c r="U2" s="40"/>
      <c r="V2" s="40"/>
      <c r="W2" s="12"/>
      <c r="X2" s="13">
        <f>MAX(Sales_Data[Date])</f>
        <v>46387</v>
      </c>
      <c r="Y2" s="12"/>
      <c r="Z2" s="12"/>
    </row>
    <row r="3" spans="1:26">
      <c r="A3" s="12"/>
      <c r="B3" s="12"/>
      <c r="C3" s="12"/>
      <c r="D3" s="12"/>
      <c r="E3" s="40"/>
      <c r="F3" s="40"/>
      <c r="G3" s="40"/>
      <c r="H3" s="40"/>
      <c r="I3" s="40"/>
      <c r="J3" s="40"/>
      <c r="K3" s="40"/>
      <c r="L3" s="40"/>
      <c r="M3" s="40"/>
      <c r="N3" s="40"/>
      <c r="O3" s="40"/>
      <c r="P3" s="40"/>
      <c r="Q3" s="40"/>
      <c r="R3" s="40"/>
      <c r="S3" s="40"/>
      <c r="T3" s="40"/>
      <c r="U3" s="40"/>
      <c r="V3" s="40"/>
      <c r="W3" s="12"/>
      <c r="X3" s="12"/>
      <c r="Y3" s="12"/>
      <c r="Z3" s="12"/>
    </row>
    <row r="18" spans="28:28">
      <c r="AB18" s="11"/>
    </row>
  </sheetData>
  <sheetProtection sheet="1" objects="1" scenarios="1" selectLockedCells="1" pivotTables="0" selectUnlockedCells="1"/>
  <mergeCells count="1">
    <mergeCell ref="E1:V3"/>
  </mergeCells>
  <pageMargins left="0.7" right="0.7" top="0.75" bottom="0.75" header="0.3" footer="0.3"/>
  <pageSetup paperSize="9" scale="52" orientation="landscape" horizontalDpi="1200" verticalDpi="12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B635-9F54-4B42-8A2B-BEFE56E288A5}">
  <dimension ref="A2:J51"/>
  <sheetViews>
    <sheetView topLeftCell="A46" zoomScale="45" zoomScaleNormal="45" workbookViewId="0">
      <selection activeCell="C1" sqref="C1"/>
    </sheetView>
  </sheetViews>
  <sheetFormatPr defaultRowHeight="23" customHeight="1"/>
  <cols>
    <col min="1" max="1" width="6.5" customWidth="1"/>
    <col min="2" max="2" width="35.08203125" bestFit="1" customWidth="1"/>
    <col min="3" max="3" width="18.33203125" bestFit="1" customWidth="1"/>
    <col min="4" max="4" width="15.58203125" customWidth="1"/>
    <col min="5" max="5" width="14.6640625" bestFit="1" customWidth="1"/>
    <col min="6" max="6" width="6.75" customWidth="1"/>
    <col min="7" max="7" width="39.5" bestFit="1" customWidth="1"/>
    <col min="8" max="8" width="23.75" customWidth="1"/>
    <col min="9" max="9" width="15.83203125" bestFit="1" customWidth="1"/>
    <col min="10" max="10" width="15.58203125" customWidth="1"/>
    <col min="11" max="11" width="24.4140625" bestFit="1" customWidth="1"/>
    <col min="12" max="12" width="15.83203125" bestFit="1" customWidth="1"/>
    <col min="14" max="14" width="16.4140625" bestFit="1" customWidth="1"/>
    <col min="15" max="15" width="15.83203125" bestFit="1" customWidth="1"/>
  </cols>
  <sheetData>
    <row r="2" spans="1:2" ht="23" customHeight="1">
      <c r="B2" s="15" t="s">
        <v>2147</v>
      </c>
    </row>
    <row r="4" spans="1:2" ht="23" customHeight="1">
      <c r="B4" s="18" t="s">
        <v>2146</v>
      </c>
    </row>
    <row r="5" spans="1:2" ht="23" customHeight="1">
      <c r="B5" s="16" t="s">
        <v>2100</v>
      </c>
    </row>
    <row r="6" spans="1:2" ht="23" customHeight="1">
      <c r="A6" s="19">
        <v>1</v>
      </c>
      <c r="B6" s="17" t="s">
        <v>2102</v>
      </c>
    </row>
    <row r="7" spans="1:2" ht="23" customHeight="1">
      <c r="A7" s="19">
        <v>2</v>
      </c>
      <c r="B7" s="17" t="s">
        <v>2103</v>
      </c>
    </row>
    <row r="8" spans="1:2" ht="23" customHeight="1">
      <c r="A8" s="19">
        <v>3</v>
      </c>
      <c r="B8" s="17" t="s">
        <v>2105</v>
      </c>
    </row>
    <row r="9" spans="1:2" ht="23" customHeight="1">
      <c r="A9" s="19">
        <v>4</v>
      </c>
      <c r="B9" s="17" t="s">
        <v>2106</v>
      </c>
    </row>
    <row r="10" spans="1:2" ht="23" customHeight="1">
      <c r="A10" s="19">
        <v>5</v>
      </c>
      <c r="B10" s="17" t="s">
        <v>2108</v>
      </c>
    </row>
    <row r="11" spans="1:2" ht="23" customHeight="1">
      <c r="A11" s="19">
        <v>6</v>
      </c>
      <c r="B11" s="17" t="s">
        <v>2111</v>
      </c>
    </row>
    <row r="12" spans="1:2" ht="23" customHeight="1">
      <c r="A12" s="19">
        <v>7</v>
      </c>
      <c r="B12" s="17" t="s">
        <v>2114</v>
      </c>
    </row>
    <row r="13" spans="1:2" ht="23" customHeight="1">
      <c r="A13" s="19">
        <v>8</v>
      </c>
      <c r="B13" s="17" t="s">
        <v>2117</v>
      </c>
    </row>
    <row r="14" spans="1:2" ht="23" customHeight="1">
      <c r="A14" s="19">
        <v>9</v>
      </c>
      <c r="B14" s="17" t="s">
        <v>2124</v>
      </c>
    </row>
    <row r="17" spans="1:8" ht="23" customHeight="1">
      <c r="A17" s="24">
        <v>1</v>
      </c>
      <c r="B17" s="21" t="s">
        <v>2102</v>
      </c>
      <c r="F17" s="20">
        <v>6</v>
      </c>
      <c r="G17" s="32" t="s">
        <v>2111</v>
      </c>
    </row>
    <row r="18" spans="1:8" ht="23" customHeight="1">
      <c r="A18" s="23"/>
      <c r="B18" s="35" t="s">
        <v>2140</v>
      </c>
      <c r="G18" s="30" t="s">
        <v>2126</v>
      </c>
      <c r="H18" s="25" t="s">
        <v>2125</v>
      </c>
    </row>
    <row r="19" spans="1:8" ht="23" customHeight="1">
      <c r="A19" s="23"/>
      <c r="B19" s="36">
        <v>2452084.3012999957</v>
      </c>
      <c r="G19" s="31" t="s">
        <v>47</v>
      </c>
      <c r="H19" s="27">
        <v>556705.17709999974</v>
      </c>
    </row>
    <row r="20" spans="1:8" ht="23" customHeight="1">
      <c r="G20" s="31" t="s">
        <v>20</v>
      </c>
      <c r="H20" s="27">
        <v>467808.84970000037</v>
      </c>
    </row>
    <row r="21" spans="1:8" ht="23" customHeight="1">
      <c r="A21" s="24">
        <v>2</v>
      </c>
      <c r="B21" s="21" t="s">
        <v>2103</v>
      </c>
      <c r="G21" s="31" t="s">
        <v>31</v>
      </c>
      <c r="H21" s="27">
        <v>561753.72460000007</v>
      </c>
    </row>
    <row r="22" spans="1:8" ht="23" customHeight="1">
      <c r="A22" s="22"/>
      <c r="B22" s="37" t="s">
        <v>2141</v>
      </c>
      <c r="G22" s="31" t="s">
        <v>86</v>
      </c>
      <c r="H22" s="27">
        <v>444494.30199999973</v>
      </c>
    </row>
    <row r="23" spans="1:8" ht="23" customHeight="1">
      <c r="A23" s="22"/>
      <c r="B23" s="38">
        <v>2000</v>
      </c>
      <c r="G23" s="31" t="s">
        <v>13</v>
      </c>
      <c r="H23" s="27">
        <v>421322.24789999996</v>
      </c>
    </row>
    <row r="24" spans="1:8" ht="23" customHeight="1">
      <c r="G24" s="29" t="s">
        <v>2127</v>
      </c>
      <c r="H24" s="28">
        <v>2452084.3012999999</v>
      </c>
    </row>
    <row r="25" spans="1:8" ht="23" customHeight="1">
      <c r="A25" s="26">
        <v>3</v>
      </c>
      <c r="B25" s="21" t="s">
        <v>2105</v>
      </c>
    </row>
    <row r="26" spans="1:8" ht="23" customHeight="1">
      <c r="B26" s="37" t="s">
        <v>2143</v>
      </c>
      <c r="F26" s="20">
        <v>7</v>
      </c>
      <c r="G26" s="32" t="s">
        <v>2114</v>
      </c>
    </row>
    <row r="27" spans="1:8" ht="23" customHeight="1">
      <c r="B27" s="38">
        <v>5552</v>
      </c>
      <c r="G27" s="30" t="s">
        <v>2126</v>
      </c>
      <c r="H27" s="25" t="s">
        <v>2125</v>
      </c>
    </row>
    <row r="28" spans="1:8" ht="23" customHeight="1">
      <c r="G28" s="31" t="s">
        <v>48</v>
      </c>
      <c r="H28" s="27">
        <v>1346491.2599999995</v>
      </c>
    </row>
    <row r="29" spans="1:8" ht="23" customHeight="1">
      <c r="A29" s="20">
        <v>4</v>
      </c>
      <c r="B29" s="21" t="s">
        <v>2106</v>
      </c>
      <c r="G29" s="31" t="s">
        <v>60</v>
      </c>
      <c r="H29" s="27">
        <v>526744.59000000008</v>
      </c>
    </row>
    <row r="30" spans="1:8" ht="23" customHeight="1">
      <c r="B30" s="37" t="s">
        <v>2142</v>
      </c>
      <c r="G30" s="31" t="s">
        <v>27</v>
      </c>
      <c r="H30" s="27">
        <v>259475.30900000001</v>
      </c>
    </row>
    <row r="31" spans="1:8" ht="23" customHeight="1">
      <c r="B31" s="28">
        <v>1226.0421506499979</v>
      </c>
      <c r="G31" s="31" t="s">
        <v>23</v>
      </c>
      <c r="H31" s="27">
        <v>229837.62600000011</v>
      </c>
    </row>
    <row r="32" spans="1:8" ht="23" customHeight="1">
      <c r="G32" s="31" t="s">
        <v>16</v>
      </c>
      <c r="H32" s="27">
        <v>72895.258099999992</v>
      </c>
    </row>
    <row r="33" spans="1:10" ht="23" customHeight="1">
      <c r="A33" s="20">
        <v>5</v>
      </c>
      <c r="B33" s="32" t="s">
        <v>2108</v>
      </c>
      <c r="G33" s="31" t="s">
        <v>73</v>
      </c>
      <c r="H33" s="27">
        <v>16640.258200000007</v>
      </c>
    </row>
    <row r="34" spans="1:10" ht="23" customHeight="1">
      <c r="B34" s="30" t="s">
        <v>2126</v>
      </c>
      <c r="C34" s="25" t="s">
        <v>2125</v>
      </c>
      <c r="G34" s="33" t="s">
        <v>2127</v>
      </c>
      <c r="H34" s="28">
        <v>2452084.3012999999</v>
      </c>
    </row>
    <row r="35" spans="1:10" ht="23" customHeight="1">
      <c r="B35" s="31" t="s">
        <v>2128</v>
      </c>
      <c r="C35" s="27">
        <v>168680.62810000006</v>
      </c>
    </row>
    <row r="36" spans="1:10" ht="23" customHeight="1">
      <c r="B36" s="31" t="s">
        <v>2129</v>
      </c>
      <c r="C36" s="27">
        <v>173605.24770000001</v>
      </c>
      <c r="F36" s="34">
        <v>8</v>
      </c>
      <c r="G36" s="32" t="s">
        <v>2117</v>
      </c>
    </row>
    <row r="37" spans="1:10" ht="23" customHeight="1">
      <c r="B37" s="31" t="s">
        <v>2130</v>
      </c>
      <c r="C37" s="27">
        <v>236738.69749999995</v>
      </c>
      <c r="G37" s="30" t="s">
        <v>2126</v>
      </c>
      <c r="H37" s="25" t="s">
        <v>2125</v>
      </c>
    </row>
    <row r="38" spans="1:10" ht="23" customHeight="1">
      <c r="B38" s="31" t="s">
        <v>2131</v>
      </c>
      <c r="C38" s="27">
        <v>241034.34019999998</v>
      </c>
      <c r="D38" s="10"/>
      <c r="G38" s="31" t="s">
        <v>35</v>
      </c>
      <c r="H38" s="27">
        <v>718745.00499999954</v>
      </c>
      <c r="J38" s="10"/>
    </row>
    <row r="39" spans="1:10" ht="23" customHeight="1">
      <c r="B39" s="31" t="s">
        <v>2132</v>
      </c>
      <c r="C39" s="27">
        <v>153642.42719999998</v>
      </c>
      <c r="D39" s="10"/>
      <c r="G39" s="31" t="s">
        <v>41</v>
      </c>
      <c r="H39" s="27">
        <v>310402.93139999988</v>
      </c>
      <c r="J39" s="10"/>
    </row>
    <row r="40" spans="1:10" ht="23" customHeight="1">
      <c r="B40" s="31" t="s">
        <v>2133</v>
      </c>
      <c r="C40" s="27">
        <v>258658.95200000011</v>
      </c>
      <c r="D40" s="10"/>
      <c r="G40" s="31" t="s">
        <v>14</v>
      </c>
      <c r="H40" s="27">
        <v>791536.99460000044</v>
      </c>
      <c r="J40" s="10"/>
    </row>
    <row r="41" spans="1:10" ht="23" customHeight="1">
      <c r="B41" s="31" t="s">
        <v>2134</v>
      </c>
      <c r="C41" s="27">
        <v>150713.13980000003</v>
      </c>
      <c r="D41" s="10"/>
      <c r="G41" s="31" t="s">
        <v>21</v>
      </c>
      <c r="H41" s="27">
        <v>631399.37030000018</v>
      </c>
      <c r="J41" s="10"/>
    </row>
    <row r="42" spans="1:10" ht="23" customHeight="1">
      <c r="B42" s="31" t="s">
        <v>2135</v>
      </c>
      <c r="C42" s="27">
        <v>185321.6210000001</v>
      </c>
      <c r="D42" s="10"/>
      <c r="G42" s="33" t="s">
        <v>2127</v>
      </c>
      <c r="H42" s="28">
        <v>2452084.3012999999</v>
      </c>
      <c r="J42" s="10"/>
    </row>
    <row r="43" spans="1:10" ht="23" customHeight="1">
      <c r="B43" s="31" t="s">
        <v>2136</v>
      </c>
      <c r="C43" s="27">
        <v>233080.36130000014</v>
      </c>
      <c r="D43" s="10"/>
      <c r="G43" s="10"/>
      <c r="J43" s="10"/>
    </row>
    <row r="44" spans="1:10" ht="23" customHeight="1">
      <c r="B44" s="31" t="s">
        <v>2137</v>
      </c>
      <c r="C44" s="27">
        <v>189721.56950000001</v>
      </c>
      <c r="D44" s="10"/>
      <c r="F44" s="34">
        <v>9</v>
      </c>
      <c r="G44" s="32" t="s">
        <v>2124</v>
      </c>
      <c r="J44" s="10"/>
    </row>
    <row r="45" spans="1:10" ht="23" customHeight="1">
      <c r="B45" s="31" t="s">
        <v>2138</v>
      </c>
      <c r="C45" s="27">
        <v>274368.30580000003</v>
      </c>
      <c r="D45" s="10"/>
      <c r="G45" s="30" t="s">
        <v>2126</v>
      </c>
      <c r="H45" s="25" t="s">
        <v>2125</v>
      </c>
    </row>
    <row r="46" spans="1:10" ht="23" customHeight="1">
      <c r="B46" s="31" t="s">
        <v>2139</v>
      </c>
      <c r="C46" s="27">
        <v>186519.01119999995</v>
      </c>
      <c r="D46" s="10"/>
      <c r="G46" s="31" t="s">
        <v>49</v>
      </c>
      <c r="H46" s="27">
        <v>432576.06000000017</v>
      </c>
    </row>
    <row r="47" spans="1:10" ht="23" customHeight="1">
      <c r="B47" s="33" t="s">
        <v>2127</v>
      </c>
      <c r="C47" s="28">
        <v>2452084.3013000004</v>
      </c>
      <c r="D47" s="10"/>
      <c r="G47" s="31" t="s">
        <v>96</v>
      </c>
      <c r="H47" s="27">
        <v>273532.5</v>
      </c>
    </row>
    <row r="48" spans="1:10" ht="23" customHeight="1">
      <c r="D48" s="10"/>
      <c r="G48" s="31" t="s">
        <v>71</v>
      </c>
      <c r="H48" s="27">
        <v>263486.39999999991</v>
      </c>
    </row>
    <row r="49" spans="4:8" ht="23" customHeight="1">
      <c r="D49" s="10"/>
      <c r="G49" s="31" t="s">
        <v>99</v>
      </c>
      <c r="H49" s="27">
        <v>254994.00000000003</v>
      </c>
    </row>
    <row r="50" spans="4:8" ht="23" customHeight="1">
      <c r="D50" s="10"/>
      <c r="G50" s="31" t="s">
        <v>67</v>
      </c>
      <c r="H50" s="27">
        <v>190959.45000000004</v>
      </c>
    </row>
    <row r="51" spans="4:8" ht="23" customHeight="1">
      <c r="G51" s="33" t="s">
        <v>2127</v>
      </c>
      <c r="H51" s="28">
        <v>1415548.4100000001</v>
      </c>
    </row>
  </sheetData>
  <pageMargins left="0.7" right="0.7" top="0.75" bottom="0.75" header="0.3" footer="0.3"/>
  <pageSetup paperSize="8" orientation="landscape" horizontalDpi="1200" verticalDpi="1200"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abSelected="1" zoomScale="68" zoomScaleNormal="68" workbookViewId="0">
      <selection activeCell="B2" sqref="B2"/>
    </sheetView>
  </sheetViews>
  <sheetFormatPr defaultColWidth="18.58203125" defaultRowHeight="16.5"/>
  <cols>
    <col min="1" max="1" width="13.9140625" customWidth="1"/>
    <col min="2" max="2" width="14.08203125" style="1" customWidth="1"/>
    <col min="3" max="3" width="12.58203125" customWidth="1"/>
    <col min="4" max="4" width="17" customWidth="1"/>
    <col min="5" max="5" width="13.4140625" customWidth="1"/>
    <col min="6" max="6" width="17" customWidth="1"/>
    <col min="7" max="7" width="20.4140625" customWidth="1"/>
    <col min="8" max="8" width="17" customWidth="1"/>
    <col min="9" max="9" width="11.9140625" customWidth="1"/>
    <col min="10" max="10" width="14.33203125" style="2" customWidth="1"/>
    <col min="11" max="11" width="12.6640625" style="3" customWidth="1"/>
    <col min="12" max="12" width="13.08203125" style="2"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Dashboard_Plan</vt:lpstr>
      <vt:lpstr>Dashboard</vt:lpstr>
      <vt:lpstr>Pivot Tables</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Olanrewaju Tajudeen</cp:lastModifiedBy>
  <cp:lastPrinted>2026-08-30T13:22:39Z</cp:lastPrinted>
  <dcterms:created xsi:type="dcterms:W3CDTF">2015-06-05T18:17:20Z</dcterms:created>
  <dcterms:modified xsi:type="dcterms:W3CDTF">2026-08-30T13:39:24Z</dcterms:modified>
</cp:coreProperties>
</file>